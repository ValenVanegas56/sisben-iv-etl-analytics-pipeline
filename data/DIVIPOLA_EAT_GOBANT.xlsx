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KEEPB\Downloads\"/>
    </mc:Choice>
  </mc:AlternateContent>
  <xr:revisionPtr revIDLastSave="0" documentId="13_ncr:1_{36213FB9-0936-49F1-9E98-E8936E390F3B}" xr6:coauthVersionLast="47" xr6:coauthVersionMax="47" xr10:uidLastSave="{00000000-0000-0000-0000-000000000000}"/>
  <bookViews>
    <workbookView xWindow="-108" yWindow="-108" windowWidth="23256" windowHeight="13896" activeTab="2" xr2:uid="{7A29F22F-43E2-429C-98F6-EF36F44EAAF7}"/>
  </bookViews>
  <sheets>
    <sheet name="DIVIPOLA_EAT_GOBANT" sheetId="1" r:id="rId1"/>
    <sheet name="Mpios_Antioquia_GeoprtalDANE_20" sheetId="3" r:id="rId2"/>
    <sheet name="DIVIPOLA_EAT" sheetId="2" r:id="rId3"/>
    <sheet name="Hoja2" sheetId="4" r:id="rId4"/>
  </sheets>
  <definedNames>
    <definedName name="_xlnm._FilterDatabase" localSheetId="0" hidden="1">DIVIPOLA_EAT_GOBANT!$A$2:$O$2</definedName>
    <definedName name="DatosExternos_1" localSheetId="1" hidden="1">Mpios_Antioquia_GeoprtalDANE_20!$A$1:$K$126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2" i="2"/>
  <c r="T4" i="1"/>
  <c r="T5" i="1"/>
  <c r="T6" i="1"/>
  <c r="T7" i="1"/>
  <c r="T8" i="1"/>
  <c r="T9" i="1"/>
  <c r="T10" i="1"/>
  <c r="T11" i="1"/>
  <c r="T3" i="1"/>
  <c r="AT13" i="1"/>
  <c r="AU13" i="1"/>
  <c r="AV13" i="1"/>
  <c r="AT14" i="1"/>
  <c r="AU14" i="1"/>
  <c r="AV14" i="1"/>
  <c r="AV12" i="1"/>
  <c r="AU12" i="1"/>
  <c r="AT12" i="1"/>
  <c r="AT4" i="1"/>
  <c r="AU4" i="1"/>
  <c r="AV4" i="1"/>
  <c r="AT5" i="1"/>
  <c r="AU5" i="1"/>
  <c r="AV5" i="1"/>
  <c r="AT6" i="1"/>
  <c r="AU6" i="1"/>
  <c r="AV6" i="1"/>
  <c r="AT7" i="1"/>
  <c r="AU7" i="1"/>
  <c r="AV7" i="1"/>
  <c r="AT8" i="1"/>
  <c r="AU8" i="1"/>
  <c r="AV8" i="1"/>
  <c r="AT9" i="1"/>
  <c r="AU9" i="1"/>
  <c r="AV9" i="1"/>
  <c r="AT10" i="1"/>
  <c r="AU10" i="1"/>
  <c r="AV10" i="1"/>
  <c r="AV3" i="1"/>
  <c r="AU3" i="1"/>
  <c r="AT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FE3B5-6E06-4338-B530-F4561F453B83}" keepAlive="1" name="Consulta - Mpios_Antioquia_GeoprtalDANE_2024" description="Conexión a la consulta 'Mpios_Antioquia_GeoprtalDANE_2024' en el libro." type="5" refreshedVersion="7" background="1" saveData="1">
    <dbPr connection="Provider=Microsoft.Mashup.OleDb.1;Data Source=$Workbook$;Location=Mpios_Antioquia_GeoprtalDANE_2024;Extended Properties=&quot;&quot;" command="SELECT * FROM [Mpios_Antioquia_GeoprtalDANE_2024]"/>
  </connection>
</connections>
</file>

<file path=xl/sharedStrings.xml><?xml version="1.0" encoding="utf-8"?>
<sst xmlns="http://schemas.openxmlformats.org/spreadsheetml/2006/main" count="4900" uniqueCount="912">
  <si>
    <t>SUBREGIONES</t>
  </si>
  <si>
    <t>ZONAS</t>
  </si>
  <si>
    <t>REGIÓN DE PLANIFICACIÓN Y GESTIÓN -RPG</t>
  </si>
  <si>
    <t>PROVINCIA ADMINISTRATIVA Y DE PLANIFICACIÓN - PAP</t>
  </si>
  <si>
    <t>ÁREAS METROPOLITANAS</t>
  </si>
  <si>
    <t>Cod_Gob_AM</t>
  </si>
  <si>
    <t>Nom_AM</t>
  </si>
  <si>
    <t>Cod_Gob_RPG</t>
  </si>
  <si>
    <t>Nom_RPG</t>
  </si>
  <si>
    <t>Nom_Prov</t>
  </si>
  <si>
    <t>Nom_Zona</t>
  </si>
  <si>
    <t>Nom_Mun</t>
  </si>
  <si>
    <t>Nom_Corto</t>
  </si>
  <si>
    <t>Nom_AM_Oficial</t>
  </si>
  <si>
    <t>SR07</t>
  </si>
  <si>
    <t>Oriente</t>
  </si>
  <si>
    <t>AM0</t>
  </si>
  <si>
    <t>No aplica</t>
  </si>
  <si>
    <t>RPG0</t>
  </si>
  <si>
    <t>PR4</t>
  </si>
  <si>
    <t>PAP. La Paz</t>
  </si>
  <si>
    <t>Z15</t>
  </si>
  <si>
    <t>Páramo</t>
  </si>
  <si>
    <t>05002</t>
  </si>
  <si>
    <t>Abejorral</t>
  </si>
  <si>
    <t>SR01</t>
  </si>
  <si>
    <t>Valle de Aburrá</t>
  </si>
  <si>
    <t>Z01</t>
  </si>
  <si>
    <t>Centro</t>
  </si>
  <si>
    <t>PR0</t>
  </si>
  <si>
    <t>AM1</t>
  </si>
  <si>
    <t>AM del Valle de Aburrá</t>
  </si>
  <si>
    <t>Área Metropolitana del Valle de Aburrá</t>
  </si>
  <si>
    <t>Ordenanza 34</t>
  </si>
  <si>
    <t>SR06</t>
  </si>
  <si>
    <t>Occidente</t>
  </si>
  <si>
    <t>RPG3</t>
  </si>
  <si>
    <t>RPG. Occidente</t>
  </si>
  <si>
    <t>PR9</t>
  </si>
  <si>
    <t>PAP. Agroindustrial del Occidente Antioqueño</t>
  </si>
  <si>
    <t>Z13</t>
  </si>
  <si>
    <t>Cuenca del Río Sucio</t>
  </si>
  <si>
    <t>05004</t>
  </si>
  <si>
    <t>Abriaquí</t>
  </si>
  <si>
    <t>SR02</t>
  </si>
  <si>
    <t>Bajo Cauca</t>
  </si>
  <si>
    <t>Z02</t>
  </si>
  <si>
    <t xml:space="preserve">Norte </t>
  </si>
  <si>
    <t>RPG1</t>
  </si>
  <si>
    <t xml:space="preserve">RPG. Bajo Cauca </t>
  </si>
  <si>
    <t>Región de Planeación y Gestión del Bajo Cauca</t>
  </si>
  <si>
    <t>PR1</t>
  </si>
  <si>
    <t>PAP. Cartama</t>
  </si>
  <si>
    <t>Provincia Administrativa y Planificación Cártama</t>
  </si>
  <si>
    <t xml:space="preserve">Ordenanza 54 </t>
  </si>
  <si>
    <t>PR5</t>
  </si>
  <si>
    <t>PAP. Agua, Bosques y el Turismo</t>
  </si>
  <si>
    <t>Z16</t>
  </si>
  <si>
    <t>Embalses</t>
  </si>
  <si>
    <t>05021</t>
  </si>
  <si>
    <t>Alejandría</t>
  </si>
  <si>
    <t>SR03</t>
  </si>
  <si>
    <t>Magdalena Medio</t>
  </si>
  <si>
    <t>Z03</t>
  </si>
  <si>
    <t xml:space="preserve">Sur </t>
  </si>
  <si>
    <t>RPG2</t>
  </si>
  <si>
    <t xml:space="preserve">RPG. Oriente </t>
  </si>
  <si>
    <t>Región de Planeación y Gestión Aeroportuaria de Oriente</t>
  </si>
  <si>
    <t>PR10</t>
  </si>
  <si>
    <t>PAP. Turística y Agroecológica del Occidente Antioqueño</t>
  </si>
  <si>
    <t>Provincia Administrativa y de Planificación Turística y Agroecológica del Occidente Antioqueño</t>
  </si>
  <si>
    <t>Ordenanza 47</t>
  </si>
  <si>
    <t>SR08</t>
  </si>
  <si>
    <t>Suroeste</t>
  </si>
  <si>
    <t>PR2</t>
  </si>
  <si>
    <t>PAP. Penderisco y Sinifaná</t>
  </si>
  <si>
    <t>Z19</t>
  </si>
  <si>
    <t>Sinifaná</t>
  </si>
  <si>
    <t>05030</t>
  </si>
  <si>
    <t>Amagá</t>
  </si>
  <si>
    <t>SR04</t>
  </si>
  <si>
    <t>Nordeste</t>
  </si>
  <si>
    <t>Z04</t>
  </si>
  <si>
    <t>Región de Planeación y Gestión de Occidente</t>
  </si>
  <si>
    <t>Provincia Administrativa y de Planificación de Penderisco y Sinifaná</t>
  </si>
  <si>
    <t xml:space="preserve">Ordenanza 04 </t>
  </si>
  <si>
    <t>PR6</t>
  </si>
  <si>
    <t>PAP. Minero Agroecológica</t>
  </si>
  <si>
    <t>Z07</t>
  </si>
  <si>
    <t>Meseta</t>
  </si>
  <si>
    <t>05031</t>
  </si>
  <si>
    <t>Amalfi</t>
  </si>
  <si>
    <t>SR05</t>
  </si>
  <si>
    <t>Norte</t>
  </si>
  <si>
    <t>Z05</t>
  </si>
  <si>
    <t>Nus</t>
  </si>
  <si>
    <t>RPG4</t>
  </si>
  <si>
    <t>RPG. Urabá</t>
  </si>
  <si>
    <t>Región de Planeación y Gestión de Urabá - RPG</t>
  </si>
  <si>
    <t>PR3</t>
  </si>
  <si>
    <t>PAP. San Juan</t>
  </si>
  <si>
    <t>Provincia Administrativa de Planificación San Juan</t>
  </si>
  <si>
    <t>Ordenanza 05</t>
  </si>
  <si>
    <t>Z20</t>
  </si>
  <si>
    <t>San Juan</t>
  </si>
  <si>
    <t>05034</t>
  </si>
  <si>
    <t>Andes</t>
  </si>
  <si>
    <t>Z06</t>
  </si>
  <si>
    <t>Ribereña</t>
  </si>
  <si>
    <t>Provincia Administrativa y de Planificación de La Paz</t>
  </si>
  <si>
    <t>05036</t>
  </si>
  <si>
    <t>Angelópolis</t>
  </si>
  <si>
    <t>Provincia Administrativa y de Planificación del Agua, Bosques y El Turismo</t>
  </si>
  <si>
    <t>Ordenanza 11</t>
  </si>
  <si>
    <t>PR7</t>
  </si>
  <si>
    <t>PAP. Bioenergética del Norte de Antioquia</t>
  </si>
  <si>
    <t>Z10</t>
  </si>
  <si>
    <t>Vertiente Chorros Blancos</t>
  </si>
  <si>
    <t>05038</t>
  </si>
  <si>
    <t>Angostura</t>
  </si>
  <si>
    <t>Z08</t>
  </si>
  <si>
    <t>Minera</t>
  </si>
  <si>
    <t>Provincia Administrativa y de Planificación Minero Agroecológica</t>
  </si>
  <si>
    <t>Z09</t>
  </si>
  <si>
    <t xml:space="preserve">Río Porce </t>
  </si>
  <si>
    <t>05040</t>
  </si>
  <si>
    <t>Anorí</t>
  </si>
  <si>
    <t>SR09</t>
  </si>
  <si>
    <t>Urabá</t>
  </si>
  <si>
    <t>Provincia Administrativa y de Planificación Bioenergética del Norte de Antioquia</t>
  </si>
  <si>
    <t xml:space="preserve">Ordenanza 48 </t>
  </si>
  <si>
    <t>Z14</t>
  </si>
  <si>
    <t>Cauca Medio</t>
  </si>
  <si>
    <t>05044</t>
  </si>
  <si>
    <t>Anzá</t>
  </si>
  <si>
    <t>PR8</t>
  </si>
  <si>
    <t>PAP. Rio Grande</t>
  </si>
  <si>
    <t>Provincia Administrativa y de Planificación del Rio Grande</t>
  </si>
  <si>
    <t xml:space="preserve">Ordenanza 46 </t>
  </si>
  <si>
    <t>Z23</t>
  </si>
  <si>
    <t>05045</t>
  </si>
  <si>
    <t>Apartadó</t>
  </si>
  <si>
    <t>Z11</t>
  </si>
  <si>
    <t>Río Grande y Chico</t>
  </si>
  <si>
    <t>Provincia Administrativa y de Planificación Agroindustrial del Occidente Antioqueño</t>
  </si>
  <si>
    <t xml:space="preserve">Ordenanza 45 </t>
  </si>
  <si>
    <t>Z24</t>
  </si>
  <si>
    <t>05051</t>
  </si>
  <si>
    <t>Arboletes</t>
  </si>
  <si>
    <t>Z12</t>
  </si>
  <si>
    <t>Río Cauca</t>
  </si>
  <si>
    <t>05055</t>
  </si>
  <si>
    <t>Argelia</t>
  </si>
  <si>
    <t>05059</t>
  </si>
  <si>
    <t>Armenia</t>
  </si>
  <si>
    <t>05079</t>
  </si>
  <si>
    <t>Barbosa</t>
  </si>
  <si>
    <t>05088</t>
  </si>
  <si>
    <t>Bello</t>
  </si>
  <si>
    <t>05086</t>
  </si>
  <si>
    <t>Belmira</t>
  </si>
  <si>
    <t>Z17</t>
  </si>
  <si>
    <t>Bosques</t>
  </si>
  <si>
    <t>05091</t>
  </si>
  <si>
    <t>Betania</t>
  </si>
  <si>
    <t>Z18</t>
  </si>
  <si>
    <t>Valle de San Nicolás</t>
  </si>
  <si>
    <t>Z21</t>
  </si>
  <si>
    <t>Penderisco</t>
  </si>
  <si>
    <t>05093</t>
  </si>
  <si>
    <t>Betulia</t>
  </si>
  <si>
    <t>05107</t>
  </si>
  <si>
    <t>Briceño</t>
  </si>
  <si>
    <t>05113</t>
  </si>
  <si>
    <t>Buriticá</t>
  </si>
  <si>
    <t>05120</t>
  </si>
  <si>
    <t>Cáceres</t>
  </si>
  <si>
    <t>Z22</t>
  </si>
  <si>
    <t>Cartama</t>
  </si>
  <si>
    <t>05125</t>
  </si>
  <si>
    <t>Caicedo</t>
  </si>
  <si>
    <t>05129</t>
  </si>
  <si>
    <t>Caldas</t>
  </si>
  <si>
    <t>05134</t>
  </si>
  <si>
    <t>Campamento</t>
  </si>
  <si>
    <t>Z25</t>
  </si>
  <si>
    <t>Atrato Medio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</si>
  <si>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</si>
  <si>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</si>
  <si>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</si>
  <si>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</si>
  <si>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</si>
  <si>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</si>
  <si>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</si>
  <si>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</si>
  <si>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05150</t>
  </si>
  <si>
    <t>Carolina del Príncipe</t>
  </si>
  <si>
    <t>05154</t>
  </si>
  <si>
    <t>Caucasia</t>
  </si>
  <si>
    <t>05172</t>
  </si>
  <si>
    <t>Chigorodó</t>
  </si>
  <si>
    <t>05190</t>
  </si>
  <si>
    <t>Cisneros</t>
  </si>
  <si>
    <t>05101</t>
  </si>
  <si>
    <t>Ciudad Bolívar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</si>
  <si>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</si>
  <si>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</si>
  <si>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</si>
  <si>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</si>
  <si>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</si>
  <si>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</si>
  <si>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</si>
  <si>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</si>
  <si>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</si>
  <si>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</si>
  <si>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05001</t>
  </si>
  <si>
    <t>Distrito Especial de Ciencia, Tecnología e Innovación de Medellín</t>
  </si>
  <si>
    <t>DECTI Medellín</t>
  </si>
  <si>
    <t>05837</t>
  </si>
  <si>
    <t>Distrito Portuario, Logístico, Industrial, Turístico y Comercial de Turbo</t>
  </si>
  <si>
    <t>DPLITC Turbo</t>
  </si>
  <si>
    <t>05237</t>
  </si>
  <si>
    <t>Donmatías</t>
  </si>
  <si>
    <t>05240</t>
  </si>
  <si>
    <t>Ebéjico</t>
  </si>
  <si>
    <t>05250</t>
  </si>
  <si>
    <t>El Bagre</t>
  </si>
  <si>
    <t>05148</t>
  </si>
  <si>
    <t>El Carmen de Viboral</t>
  </si>
  <si>
    <t>05541</t>
  </si>
  <si>
    <t>El Peñol</t>
  </si>
  <si>
    <t>05607</t>
  </si>
  <si>
    <t>El Retiro</t>
  </si>
  <si>
    <t>05697</t>
  </si>
  <si>
    <t>El Santuario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</si>
  <si>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</si>
  <si>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</si>
  <si>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</si>
  <si>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</si>
  <si>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</si>
  <si>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</si>
  <si>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</si>
  <si>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</si>
  <si>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</si>
  <si>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</si>
  <si>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</si>
  <si>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</si>
  <si>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</si>
  <si>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</si>
  <si>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</si>
  <si>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</si>
  <si>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</si>
  <si>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</si>
  <si>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</si>
  <si>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</si>
  <si>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</si>
  <si>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</si>
  <si>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</si>
  <si>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</si>
  <si>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</si>
  <si>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</si>
  <si>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</si>
  <si>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</si>
  <si>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</si>
  <si>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</si>
  <si>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</si>
  <si>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</si>
  <si>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</si>
  <si>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</si>
  <si>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</si>
  <si>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 del Tambo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</si>
  <si>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</si>
  <si>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</si>
  <si>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</si>
  <si>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</si>
  <si>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</si>
  <si>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</si>
  <si>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</si>
  <si>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</si>
  <si>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</si>
  <si>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</si>
  <si>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</si>
  <si>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</si>
  <si>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</si>
  <si>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</si>
  <si>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</si>
  <si>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</si>
  <si>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</si>
  <si>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</si>
  <si>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</si>
  <si>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</si>
  <si>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05495</t>
  </si>
  <si>
    <t>Nechí</t>
  </si>
  <si>
    <t>05490</t>
  </si>
  <si>
    <t>Necoclí</t>
  </si>
  <si>
    <t>05501</t>
  </si>
  <si>
    <t>Olaya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</si>
  <si>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</si>
  <si>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</si>
  <si>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</si>
  <si>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</si>
  <si>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</si>
  <si>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</si>
  <si>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</si>
  <si>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</si>
  <si>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</si>
  <si>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</si>
  <si>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</si>
  <si>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</si>
  <si>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</si>
  <si>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</si>
  <si>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</si>
  <si>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</si>
  <si>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</si>
  <si>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</si>
  <si>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</si>
  <si>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</si>
  <si>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</si>
  <si>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Cuerquia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</si>
  <si>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</si>
  <si>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</si>
  <si>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</si>
  <si>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</si>
  <si>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</si>
  <si>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</si>
  <si>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</si>
  <si>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</si>
  <si>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</si>
  <si>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</si>
  <si>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</si>
  <si>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</si>
  <si>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</si>
  <si>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</si>
  <si>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</si>
  <si>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</si>
  <si>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</si>
  <si>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</si>
  <si>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</si>
  <si>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</si>
  <si>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</si>
  <si>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</si>
  <si>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</si>
  <si>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</si>
  <si>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05042</t>
  </si>
  <si>
    <t>Santa Fe de Antioquia</t>
  </si>
  <si>
    <t>05686</t>
  </si>
  <si>
    <t>Santa Rosa de Osos</t>
  </si>
  <si>
    <t>05690</t>
  </si>
  <si>
    <t>Santo Domingo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</si>
  <si>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</si>
  <si>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</si>
  <si>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</si>
  <si>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</si>
  <si>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</si>
  <si>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</si>
  <si>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</si>
  <si>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</si>
  <si>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</si>
  <si>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</si>
  <si>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</si>
  <si>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</si>
  <si>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</si>
  <si>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</si>
  <si>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</si>
  <si>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</si>
  <si>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</si>
  <si>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</si>
  <si>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</si>
  <si>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</si>
  <si>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</si>
  <si>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</si>
  <si>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</si>
  <si>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</si>
  <si>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</si>
  <si>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</si>
  <si>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</si>
  <si>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</si>
  <si>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</si>
  <si>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</si>
  <si>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</si>
  <si>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</si>
  <si>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</si>
  <si>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</si>
  <si>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</si>
  <si>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</si>
  <si>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</si>
  <si>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</si>
  <si>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</si>
  <si>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</si>
  <si>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Cod_Gob_Zona</t>
  </si>
  <si>
    <t>Cod_Gob_Subregion</t>
  </si>
  <si>
    <t>Nom_subregion</t>
  </si>
  <si>
    <t>Cod_Gob_Prov</t>
  </si>
  <si>
    <t>Cod_DANE_Mun</t>
  </si>
  <si>
    <t>No disponible</t>
  </si>
  <si>
    <t>Nom_RPG_Oficial</t>
  </si>
  <si>
    <t>https://github.com/HmRomeror/BandsMpios_Antio/blob/main/05002.png?raw=true</t>
  </si>
  <si>
    <t>https://github.com/HmRomeror/BandsMpios_Antio/blob/main/05004.png?raw=true</t>
  </si>
  <si>
    <t>https://github.com/HmRomeror/BandsMpios_Antio/blob/main/05021.png?raw=true</t>
  </si>
  <si>
    <t>https://github.com/HmRomeror/BandsMpios_Antio/blob/main/05030.png?raw=true</t>
  </si>
  <si>
    <t>https://github.com/HmRomeror/BandsMpios_Antio/blob/main/05031.png?raw=true</t>
  </si>
  <si>
    <t>https://github.com/HmRomeror/BandsMpios_Antio/blob/main/05034.png?raw=true</t>
  </si>
  <si>
    <t>https://github.com/HmRomeror/BandsMpios_Antio/blob/main/05036.png?raw=true</t>
  </si>
  <si>
    <t>https://github.com/HmRomeror/BandsMpios_Antio/blob/main/05038.png?raw=true</t>
  </si>
  <si>
    <t>https://github.com/HmRomeror/BandsMpios_Antio/blob/main/05040.png?raw=true</t>
  </si>
  <si>
    <t>https://github.com/HmRomeror/BandsMpios_Antio/blob/main/05044.png?raw=true</t>
  </si>
  <si>
    <t>https://github.com/HmRomeror/BandsMpios_Antio/blob/main/05045.png?raw=true</t>
  </si>
  <si>
    <t>https://github.com/HmRomeror/BandsMpios_Antio/blob/main/05051.png?raw=true</t>
  </si>
  <si>
    <t>https://github.com/HmRomeror/BandsMpios_Antio/blob/main/05055.png?raw=true</t>
  </si>
  <si>
    <t>https://github.com/HmRomeror/BandsMpios_Antio/blob/main/05059.png?raw=true</t>
  </si>
  <si>
    <t>https://github.com/HmRomeror/BandsMpios_Antio/blob/main/05079.png?raw=true</t>
  </si>
  <si>
    <t>https://github.com/HmRomeror/BandsMpios_Antio/blob/main/05088.png?raw=true</t>
  </si>
  <si>
    <t>https://github.com/HmRomeror/BandsMpios_Antio/blob/main/05086.png?raw=true</t>
  </si>
  <si>
    <t>https://github.com/HmRomeror/BandsMpios_Antio/blob/main/05091.png?raw=true</t>
  </si>
  <si>
    <t>https://github.com/HmRomeror/BandsMpios_Antio/blob/main/05093.png?raw=true</t>
  </si>
  <si>
    <t>https://github.com/HmRomeror/BandsMpios_Antio/blob/main/05107.png?raw=true</t>
  </si>
  <si>
    <t>https://github.com/HmRomeror/BandsMpios_Antio/blob/main/05113.png?raw=true</t>
  </si>
  <si>
    <t>https://github.com/HmRomeror/BandsMpios_Antio/blob/main/05120.png?raw=true</t>
  </si>
  <si>
    <t>https://github.com/HmRomeror/BandsMpios_Antio/blob/main/05125.png?raw=true</t>
  </si>
  <si>
    <t>https://github.com/HmRomeror/BandsMpios_Antio/blob/main/05129.png?raw=true</t>
  </si>
  <si>
    <t>https://github.com/HmRomeror/BandsMpios_Antio/blob/main/05134.png?raw=true</t>
  </si>
  <si>
    <t>https://github.com/HmRomeror/BandsMpios_Antio/blob/main/05138.png?raw=true</t>
  </si>
  <si>
    <t>https://github.com/HmRomeror/BandsMpios_Antio/blob/main/05142.png?raw=true</t>
  </si>
  <si>
    <t>https://github.com/HmRomeror/BandsMpios_Antio/blob/main/05145.png?raw=true</t>
  </si>
  <si>
    <t>https://github.com/HmRomeror/BandsMpios_Antio/blob/main/05147.png?raw=true</t>
  </si>
  <si>
    <t>https://github.com/HmRomeror/BandsMpios_Antio/blob/main/05150.png?raw=true</t>
  </si>
  <si>
    <t>https://github.com/HmRomeror/BandsMpios_Antio/blob/main/05154.png?raw=true</t>
  </si>
  <si>
    <t>https://github.com/HmRomeror/BandsMpios_Antio/blob/main/05172.png?raw=true</t>
  </si>
  <si>
    <t>https://github.com/HmRomeror/BandsMpios_Antio/blob/main/05190.png?raw=true</t>
  </si>
  <si>
    <t>https://github.com/HmRomeror/BandsMpios_Antio/blob/main/05101.png?raw=true</t>
  </si>
  <si>
    <t>https://github.com/HmRomeror/BandsMpios_Antio/blob/main/05197.png?raw=true</t>
  </si>
  <si>
    <t>https://github.com/HmRomeror/BandsMpios_Antio/blob/main/05206.png?raw=true</t>
  </si>
  <si>
    <t>https://github.com/HmRomeror/BandsMpios_Antio/blob/main/05209.png?raw=true</t>
  </si>
  <si>
    <t>https://github.com/HmRomeror/BandsMpios_Antio/blob/main/05212.png?raw=true</t>
  </si>
  <si>
    <t>https://github.com/HmRomeror/BandsMpios_Antio/blob/main/05234.png?raw=true</t>
  </si>
  <si>
    <t>https://github.com/HmRomeror/BandsMpios_Antio/blob/main/05001.png?raw=true</t>
  </si>
  <si>
    <t>https://github.com/HmRomeror/BandsMpios_Antio/blob/main/05837.png?raw=true</t>
  </si>
  <si>
    <t>https://github.com/HmRomeror/BandsMpios_Antio/blob/main/05237.png?raw=true</t>
  </si>
  <si>
    <t>https://github.com/HmRomeror/BandsMpios_Antio/blob/main/05240.png?raw=true</t>
  </si>
  <si>
    <t>https://github.com/HmRomeror/BandsMpios_Antio/blob/main/05250.png?raw=true</t>
  </si>
  <si>
    <t>https://github.com/HmRomeror/BandsMpios_Antio/blob/main/05148.png?raw=true</t>
  </si>
  <si>
    <t>https://github.com/HmRomeror/BandsMpios_Antio/blob/main/05541.png?raw=true</t>
  </si>
  <si>
    <t>https://github.com/HmRomeror/BandsMpios_Antio/blob/main/05607.png?raw=true</t>
  </si>
  <si>
    <t>https://github.com/HmRomeror/BandsMpios_Antio/blob/main/05697.png?raw=true</t>
  </si>
  <si>
    <t>https://github.com/HmRomeror/BandsMpios_Antio/blob/main/05264.png?raw=true</t>
  </si>
  <si>
    <t>https://github.com/HmRomeror/BandsMpios_Antio/blob/main/05266.png?raw=true</t>
  </si>
  <si>
    <t>https://github.com/HmRomeror/BandsMpios_Antio/blob/main/05282.png?raw=true</t>
  </si>
  <si>
    <t>https://github.com/HmRomeror/BandsMpios_Antio/blob/main/05284.png?raw=true</t>
  </si>
  <si>
    <t>https://github.com/HmRomeror/BandsMpios_Antio/blob/main/05306.png?raw=true</t>
  </si>
  <si>
    <t>https://github.com/HmRomeror/BandsMpios_Antio/blob/main/05308.png?raw=true</t>
  </si>
  <si>
    <t>https://github.com/HmRomeror/BandsMpios_Antio/blob/main/05310.png?raw=true</t>
  </si>
  <si>
    <t>https://github.com/HmRomeror/BandsMpios_Antio/blob/main/05313.png?raw=true</t>
  </si>
  <si>
    <t>https://github.com/HmRomeror/BandsMpios_Antio/blob/main/05315.png?raw=true</t>
  </si>
  <si>
    <t>https://github.com/HmRomeror/BandsMpios_Antio/blob/main/05318.png?raw=true</t>
  </si>
  <si>
    <t>https://github.com/HmRomeror/BandsMpios_Antio/blob/main/05321.png?raw=true</t>
  </si>
  <si>
    <t>https://github.com/HmRomeror/BandsMpios_Antio/blob/main/05347.png?raw=true</t>
  </si>
  <si>
    <t>https://github.com/HmRomeror/BandsMpios_Antio/blob/main/05353.png?raw=true</t>
  </si>
  <si>
    <t>https://github.com/HmRomeror/BandsMpios_Antio/blob/main/05360.png?raw=true</t>
  </si>
  <si>
    <t>https://github.com/HmRomeror/BandsMpios_Antio/blob/main/05361.png?raw=true</t>
  </si>
  <si>
    <t>https://github.com/HmRomeror/BandsMpios_Antio/blob/main/05364.png?raw=true</t>
  </si>
  <si>
    <t>https://github.com/HmRomeror/BandsMpios_Antio/blob/main/05368.png?raw=true</t>
  </si>
  <si>
    <t>https://github.com/HmRomeror/BandsMpios_Antio/blob/main/05376.png?raw=true</t>
  </si>
  <si>
    <t>https://github.com/HmRomeror/BandsMpios_Antio/blob/main/05380.png?raw=true</t>
  </si>
  <si>
    <t>https://github.com/HmRomeror/BandsMpios_Antio/blob/main/05390.png?raw=true</t>
  </si>
  <si>
    <t>https://github.com/HmRomeror/BandsMpios_Antio/blob/main/05400.png?raw=true</t>
  </si>
  <si>
    <t>https://github.com/HmRomeror/BandsMpios_Antio/blob/main/05411.png?raw=true</t>
  </si>
  <si>
    <t>https://github.com/HmRomeror/BandsMpios_Antio/blob/main/05425.png?raw=true</t>
  </si>
  <si>
    <t>https://github.com/HmRomeror/BandsMpios_Antio/blob/main/05440.png?raw=true</t>
  </si>
  <si>
    <t>https://github.com/HmRomeror/BandsMpios_Antio/blob/main/05467.png?raw=true</t>
  </si>
  <si>
    <t>https://github.com/HmRomeror/BandsMpios_Antio/blob/main/05475.png?raw=true</t>
  </si>
  <si>
    <t>https://github.com/HmRomeror/BandsMpios_Antio/blob/main/05480.png?raw=true</t>
  </si>
  <si>
    <t>https://github.com/HmRomeror/BandsMpios_Antio/blob/main/05483.png?raw=true</t>
  </si>
  <si>
    <t>https://github.com/HmRomeror/BandsMpios_Antio/blob/main/05495.png?raw=true</t>
  </si>
  <si>
    <t>https://github.com/HmRomeror/BandsMpios_Antio/blob/main/05490.png?raw=true</t>
  </si>
  <si>
    <t>https://github.com/HmRomeror/BandsMpios_Antio/blob/main/05501.png?raw=true</t>
  </si>
  <si>
    <t>https://github.com/HmRomeror/BandsMpios_Antio/blob/main/05543.png?raw=true</t>
  </si>
  <si>
    <t>https://github.com/HmRomeror/BandsMpios_Antio/blob/main/05576.png?raw=true</t>
  </si>
  <si>
    <t>https://github.com/HmRomeror/BandsMpios_Antio/blob/main/05579.png?raw=true</t>
  </si>
  <si>
    <t>https://github.com/HmRomeror/BandsMpios_Antio/blob/main/05585.png?raw=true</t>
  </si>
  <si>
    <t>https://github.com/HmRomeror/BandsMpios_Antio/blob/main/05591.png?raw=true</t>
  </si>
  <si>
    <t>https://github.com/HmRomeror/BandsMpios_Antio/blob/main/05604.png?raw=true</t>
  </si>
  <si>
    <t>https://github.com/HmRomeror/BandsMpios_Antio/blob/main/05615.png?raw=true</t>
  </si>
  <si>
    <t>https://github.com/HmRomeror/BandsMpios_Antio/blob/main/05628.png?raw=true</t>
  </si>
  <si>
    <t>https://github.com/HmRomeror/BandsMpios_Antio/blob/main/05631.png?raw=true</t>
  </si>
  <si>
    <t>https://github.com/HmRomeror/BandsMpios_Antio/blob/main/05642.png?raw=true</t>
  </si>
  <si>
    <t>https://github.com/HmRomeror/BandsMpios_Antio/blob/main/05647.png?raw=true</t>
  </si>
  <si>
    <t>https://github.com/HmRomeror/BandsMpios_Antio/blob/main/05649.png?raw=true</t>
  </si>
  <si>
    <t>https://github.com/HmRomeror/BandsMpios_Antio/blob/main/05652.png?raw=true</t>
  </si>
  <si>
    <t>https://github.com/HmRomeror/BandsMpios_Antio/blob/main/05656.png?raw=true</t>
  </si>
  <si>
    <t>https://github.com/HmRomeror/BandsMpios_Antio/blob/main/05658.png?raw=true</t>
  </si>
  <si>
    <t>https://github.com/HmRomeror/BandsMpios_Antio/blob/main/05659.png?raw=true</t>
  </si>
  <si>
    <t>https://github.com/HmRomeror/BandsMpios_Antio/blob/main/05660.png?raw=true</t>
  </si>
  <si>
    <t>https://github.com/HmRomeror/BandsMpios_Antio/blob/main/05664.png?raw=true</t>
  </si>
  <si>
    <t>https://github.com/HmRomeror/BandsMpios_Antio/blob/main/05665.png?raw=true</t>
  </si>
  <si>
    <t>https://github.com/HmRomeror/BandsMpios_Antio/blob/main/05667.png?raw=true</t>
  </si>
  <si>
    <t>https://github.com/HmRomeror/BandsMpios_Antio/blob/main/05670.png?raw=true</t>
  </si>
  <si>
    <t>https://github.com/HmRomeror/BandsMpios_Antio/blob/main/05674.png?raw=true</t>
  </si>
  <si>
    <t>https://github.com/HmRomeror/BandsMpios_Antio/blob/main/05679.png?raw=true</t>
  </si>
  <si>
    <t>https://github.com/HmRomeror/BandsMpios_Antio/blob/main/05042.png?raw=true</t>
  </si>
  <si>
    <t>https://github.com/HmRomeror/BandsMpios_Antio/blob/main/05686.png?raw=true</t>
  </si>
  <si>
    <t>https://github.com/HmRomeror/BandsMpios_Antio/blob/main/05690.png?raw=true</t>
  </si>
  <si>
    <t>https://github.com/HmRomeror/BandsMpios_Antio/blob/main/05736.png?raw=true</t>
  </si>
  <si>
    <t>https://github.com/HmRomeror/BandsMpios_Antio/blob/main/05756.png?raw=true</t>
  </si>
  <si>
    <t>https://github.com/HmRomeror/BandsMpios_Antio/blob/main/05761.png?raw=true</t>
  </si>
  <si>
    <t>https://github.com/HmRomeror/BandsMpios_Antio/blob/main/05789.png?raw=true</t>
  </si>
  <si>
    <t>https://github.com/HmRomeror/BandsMpios_Antio/blob/main/05790.png?raw=true</t>
  </si>
  <si>
    <t>https://github.com/HmRomeror/BandsMpios_Antio/blob/main/05792.png?raw=true</t>
  </si>
  <si>
    <t>https://github.com/HmRomeror/BandsMpios_Antio/blob/main/05809.png?raw=true</t>
  </si>
  <si>
    <t>https://github.com/HmRomeror/BandsMpios_Antio/blob/main/05819.png?raw=true</t>
  </si>
  <si>
    <t>https://github.com/HmRomeror/BandsMpios_Antio/blob/main/05842.png?raw=true</t>
  </si>
  <si>
    <t>https://github.com/HmRomeror/BandsMpios_Antio/blob/main/05847.png?raw=true</t>
  </si>
  <si>
    <t>https://github.com/HmRomeror/BandsMpios_Antio/blob/main/05854.png?raw=true</t>
  </si>
  <si>
    <t>https://github.com/HmRomeror/BandsMpios_Antio/blob/main/05856.png?raw=true</t>
  </si>
  <si>
    <t>https://github.com/HmRomeror/BandsMpios_Antio/blob/main/05858.png?raw=true</t>
  </si>
  <si>
    <t>https://github.com/HmRomeror/BandsMpios_Antio/blob/main/05861.png?raw=true</t>
  </si>
  <si>
    <t>https://github.com/HmRomeror/BandsMpios_Antio/blob/main/05873.png?raw=true</t>
  </si>
  <si>
    <t>https://github.com/HmRomeror/BandsMpios_Antio/blob/main/05885.png?raw=true</t>
  </si>
  <si>
    <t>https://github.com/HmRomeror/BandsMpios_Antio/blob/main/05887.png?raw=true</t>
  </si>
  <si>
    <t>https://github.com/HmRomeror/BandsMpios_Antio/blob/main/05890.png?raw=true</t>
  </si>
  <si>
    <t>https://github.com/HmRomeror/BandsMpios_Antio/blob/main/05893.png?raw=true</t>
  </si>
  <si>
    <t>https://github.com/HmRomeror/BandsMpios_Antio/blob/main/05895.png?raw=true</t>
  </si>
  <si>
    <t>Bandera_escudo</t>
  </si>
  <si>
    <t>2018 - 2025</t>
  </si>
  <si>
    <t>2019 - 2025</t>
  </si>
  <si>
    <t>Ordenanza 06 - Ordenanza 11</t>
  </si>
  <si>
    <t>Ordenanza 30 - Ordenanza 07</t>
  </si>
  <si>
    <t>dpto_ccdgo</t>
  </si>
  <si>
    <t>mpio_ccdgo</t>
  </si>
  <si>
    <t>mpio_cdpmp</t>
  </si>
  <si>
    <t>dpto_cnmbr</t>
  </si>
  <si>
    <t>mpio_cnmbr</t>
  </si>
  <si>
    <t>mpio_crslc</t>
  </si>
  <si>
    <t>mpio_tipo</t>
  </si>
  <si>
    <t>mpio_narea</t>
  </si>
  <si>
    <t>mpio_nano</t>
  </si>
  <si>
    <t>shape_Leng</t>
  </si>
  <si>
    <t>shape_Area</t>
  </si>
  <si>
    <t>05</t>
  </si>
  <si>
    <t>001</t>
  </si>
  <si>
    <t>ANTIOQUIA</t>
  </si>
  <si>
    <t>MEDELLÍN</t>
  </si>
  <si>
    <t>1965</t>
  </si>
  <si>
    <t>MUNICIPIO</t>
  </si>
  <si>
    <t>002</t>
  </si>
  <si>
    <t>ABEJORRAL</t>
  </si>
  <si>
    <t>1814</t>
  </si>
  <si>
    <t>004</t>
  </si>
  <si>
    <t>ABRIAQUÍ</t>
  </si>
  <si>
    <t>1912</t>
  </si>
  <si>
    <t>021</t>
  </si>
  <si>
    <t>ALEJANDRÍA</t>
  </si>
  <si>
    <t>Decreto departamental 304 de 1907</t>
  </si>
  <si>
    <t>030</t>
  </si>
  <si>
    <t>AMAGÁ</t>
  </si>
  <si>
    <t>031</t>
  </si>
  <si>
    <t>AMALFI</t>
  </si>
  <si>
    <t>1843</t>
  </si>
  <si>
    <t>034</t>
  </si>
  <si>
    <t>ANDES</t>
  </si>
  <si>
    <t>1853</t>
  </si>
  <si>
    <t>036</t>
  </si>
  <si>
    <t>ANGELÓPOLIS</t>
  </si>
  <si>
    <t>Ordenanza 16 del 12 de julio de 1896</t>
  </si>
  <si>
    <t>038</t>
  </si>
  <si>
    <t>ANGOSTURA</t>
  </si>
  <si>
    <t>1821</t>
  </si>
  <si>
    <t>040</t>
  </si>
  <si>
    <t>ANORÍ</t>
  </si>
  <si>
    <t>042</t>
  </si>
  <si>
    <t>SANTA FÉ DE ANTIOQUIA</t>
  </si>
  <si>
    <t>1541</t>
  </si>
  <si>
    <t>044</t>
  </si>
  <si>
    <t>ANZÁ</t>
  </si>
  <si>
    <t>1813</t>
  </si>
  <si>
    <t>045</t>
  </si>
  <si>
    <t>APARTADÓ</t>
  </si>
  <si>
    <t>Ordenanza 7 de Noviembre 30 de 1967</t>
  </si>
  <si>
    <t>051</t>
  </si>
  <si>
    <t>ARBOLETES</t>
  </si>
  <si>
    <t>Decreto departamental 340 del 30 de Agosto  de 1958</t>
  </si>
  <si>
    <t>055</t>
  </si>
  <si>
    <t>ARGELIA</t>
  </si>
  <si>
    <t>Ordenanza 19 de Diciembre 5 de 1960</t>
  </si>
  <si>
    <t>059</t>
  </si>
  <si>
    <t>ARMENIA</t>
  </si>
  <si>
    <t>Ordenanza 20 del 25 de Junio de 1894</t>
  </si>
  <si>
    <t>079</t>
  </si>
  <si>
    <t>BARBOSA</t>
  </si>
  <si>
    <t>1812</t>
  </si>
  <si>
    <t>086</t>
  </si>
  <si>
    <t>BELMIRA</t>
  </si>
  <si>
    <t>088</t>
  </si>
  <si>
    <t>BELLO</t>
  </si>
  <si>
    <t>Ordenanza 48 del 29 deAbril de 1913</t>
  </si>
  <si>
    <t>091</t>
  </si>
  <si>
    <t>BETANIA</t>
  </si>
  <si>
    <t>Ordenanza 42 del 24 de Abril de 1920</t>
  </si>
  <si>
    <t>093</t>
  </si>
  <si>
    <t>BETULIA</t>
  </si>
  <si>
    <t>Decreto departamental 629 del 28 de Enero de 1884</t>
  </si>
  <si>
    <t>101</t>
  </si>
  <si>
    <t>CIUDAD BOLÍVAR</t>
  </si>
  <si>
    <t>1869</t>
  </si>
  <si>
    <t>107</t>
  </si>
  <si>
    <t>BRICEÑO</t>
  </si>
  <si>
    <t>Ordenanza 27 de Noviembre 26 de 1980</t>
  </si>
  <si>
    <t>113</t>
  </si>
  <si>
    <t>BURITICÁ</t>
  </si>
  <si>
    <t>120</t>
  </si>
  <si>
    <t>CÁCERES</t>
  </si>
  <si>
    <t>Decreto departamental 160 del 16 de Marzo de 1903</t>
  </si>
  <si>
    <t>125</t>
  </si>
  <si>
    <t>CAICEDO</t>
  </si>
  <si>
    <t>Decreto 1303 de Noviembre 27 de 1908</t>
  </si>
  <si>
    <t>129</t>
  </si>
  <si>
    <t>CALDAS</t>
  </si>
  <si>
    <t>Ordenanza 01 del 20 de Noviembre de 1848</t>
  </si>
  <si>
    <t>134</t>
  </si>
  <si>
    <t>CAMPAMENTO</t>
  </si>
  <si>
    <t>1835</t>
  </si>
  <si>
    <t>138</t>
  </si>
  <si>
    <t>CAÑASGORDAS</t>
  </si>
  <si>
    <t>1855</t>
  </si>
  <si>
    <t>142</t>
  </si>
  <si>
    <t>CARACOLÍ</t>
  </si>
  <si>
    <t>Ordenanza 19 de Noviembre 30 de 1963</t>
  </si>
  <si>
    <t>145</t>
  </si>
  <si>
    <t>CARAMANTA</t>
  </si>
  <si>
    <t>1842</t>
  </si>
  <si>
    <t>147</t>
  </si>
  <si>
    <t>CAREPA</t>
  </si>
  <si>
    <t>Ordenanza 7 de Diciembre 15 de 1983</t>
  </si>
  <si>
    <t>148</t>
  </si>
  <si>
    <t>EL CARMEN DE VIBORAL</t>
  </si>
  <si>
    <t>150</t>
  </si>
  <si>
    <t>CAROLINA</t>
  </si>
  <si>
    <t>154</t>
  </si>
  <si>
    <t>CAUCASIA</t>
  </si>
  <si>
    <t>1942</t>
  </si>
  <si>
    <t>172</t>
  </si>
  <si>
    <t>CHIGORODÓ</t>
  </si>
  <si>
    <t>Ordenanza 52 del 27 de Abril de 1915</t>
  </si>
  <si>
    <t>190</t>
  </si>
  <si>
    <t>CISNEROS</t>
  </si>
  <si>
    <t>Ordenanza 11 del 13 de Abril de 1923</t>
  </si>
  <si>
    <t>197</t>
  </si>
  <si>
    <t>COCORNÁ</t>
  </si>
  <si>
    <t>1864</t>
  </si>
  <si>
    <t>206</t>
  </si>
  <si>
    <t>CONCEPCIÓN</t>
  </si>
  <si>
    <t>1773</t>
  </si>
  <si>
    <t>209</t>
  </si>
  <si>
    <t>CONCORDIA</t>
  </si>
  <si>
    <t>1848</t>
  </si>
  <si>
    <t>212</t>
  </si>
  <si>
    <t>COPACABANA</t>
  </si>
  <si>
    <t>234</t>
  </si>
  <si>
    <t>DABEIBA</t>
  </si>
  <si>
    <t>1887</t>
  </si>
  <si>
    <t>237</t>
  </si>
  <si>
    <t>DONMATÍAS</t>
  </si>
  <si>
    <t>240</t>
  </si>
  <si>
    <t>EBÉJICO</t>
  </si>
  <si>
    <t>1833</t>
  </si>
  <si>
    <t>250</t>
  </si>
  <si>
    <t>EL BAGRE</t>
  </si>
  <si>
    <t>Ordenanza 22 de Octubre 30 de 1979</t>
  </si>
  <si>
    <t>264</t>
  </si>
  <si>
    <t>ENTRERRÍOS</t>
  </si>
  <si>
    <t>Decreto departamental del 25 de Mayo de 1835</t>
  </si>
  <si>
    <t>266</t>
  </si>
  <si>
    <t>ENVIGADO</t>
  </si>
  <si>
    <t>282</t>
  </si>
  <si>
    <t>FREDONIA</t>
  </si>
  <si>
    <t>Decreto departamental del 2 de Octubre de 1830</t>
  </si>
  <si>
    <t>284</t>
  </si>
  <si>
    <t>FRONTINO</t>
  </si>
  <si>
    <t>1859</t>
  </si>
  <si>
    <t>306</t>
  </si>
  <si>
    <t>GIRALDO</t>
  </si>
  <si>
    <t>Ley 2 de 1865</t>
  </si>
  <si>
    <t>308</t>
  </si>
  <si>
    <t>GIRARDOTA</t>
  </si>
  <si>
    <t>310</t>
  </si>
  <si>
    <t>GÓMEZ PLATA</t>
  </si>
  <si>
    <t>Ordenanza 26 del 20 de Mayo de 1903</t>
  </si>
  <si>
    <t>313</t>
  </si>
  <si>
    <t>GRANADA</t>
  </si>
  <si>
    <t>1817</t>
  </si>
  <si>
    <t>315</t>
  </si>
  <si>
    <t>GUADALUPE</t>
  </si>
  <si>
    <t>Ordenanza 2 de Octubre 30 de 1964</t>
  </si>
  <si>
    <t>318</t>
  </si>
  <si>
    <t>GUARNE</t>
  </si>
  <si>
    <t>321</t>
  </si>
  <si>
    <t>GUATAPÉ</t>
  </si>
  <si>
    <t>1818</t>
  </si>
  <si>
    <t>347</t>
  </si>
  <si>
    <t>HELICONIA</t>
  </si>
  <si>
    <t>1831</t>
  </si>
  <si>
    <t>353</t>
  </si>
  <si>
    <t>HISPANIA</t>
  </si>
  <si>
    <t>Ordenanza 8 de Diciembre 15 de 1983</t>
  </si>
  <si>
    <t>360</t>
  </si>
  <si>
    <t>ITAGÜÍ</t>
  </si>
  <si>
    <t>1832</t>
  </si>
  <si>
    <t>361</t>
  </si>
  <si>
    <t>ITUANGO</t>
  </si>
  <si>
    <t>1857</t>
  </si>
  <si>
    <t>364</t>
  </si>
  <si>
    <t>JARDÍN</t>
  </si>
  <si>
    <t>Decreto departamental 118 de 1882</t>
  </si>
  <si>
    <t>368</t>
  </si>
  <si>
    <t>JERICÓ</t>
  </si>
  <si>
    <t>1852</t>
  </si>
  <si>
    <t>376</t>
  </si>
  <si>
    <t>LA CEJA</t>
  </si>
  <si>
    <t>1914</t>
  </si>
  <si>
    <t>380</t>
  </si>
  <si>
    <t>LA ESTRELLA</t>
  </si>
  <si>
    <t>390</t>
  </si>
  <si>
    <t>LA PINTADA</t>
  </si>
  <si>
    <t>ORD 42E DE DICIEMBRE 18 DE 1996</t>
  </si>
  <si>
    <t>400</t>
  </si>
  <si>
    <t>LA UNIÓN</t>
  </si>
  <si>
    <t>Ordenanza 18 de Abril de 1911</t>
  </si>
  <si>
    <t>411</t>
  </si>
  <si>
    <t>LIBORINA</t>
  </si>
  <si>
    <t>425</t>
  </si>
  <si>
    <t>MACEO</t>
  </si>
  <si>
    <t>1958</t>
  </si>
  <si>
    <t>440</t>
  </si>
  <si>
    <t>MARINILLA</t>
  </si>
  <si>
    <t>1787</t>
  </si>
  <si>
    <t>467</t>
  </si>
  <si>
    <t>MONTEBELLO</t>
  </si>
  <si>
    <t>Ordenanza 44 de Abril 28 de 1913</t>
  </si>
  <si>
    <t>475</t>
  </si>
  <si>
    <t>MURINDÓ</t>
  </si>
  <si>
    <t>1849</t>
  </si>
  <si>
    <t>480</t>
  </si>
  <si>
    <t>MUTATÁ</t>
  </si>
  <si>
    <t>1951</t>
  </si>
  <si>
    <t>483</t>
  </si>
  <si>
    <t>NARIÑO</t>
  </si>
  <si>
    <t>1913</t>
  </si>
  <si>
    <t>490</t>
  </si>
  <si>
    <t>NECOCLÍ</t>
  </si>
  <si>
    <t>Ordenanza 23 de Noviembre 28 de 1977</t>
  </si>
  <si>
    <t>495</t>
  </si>
  <si>
    <t>NECHÍ</t>
  </si>
  <si>
    <t>Ordenanza 001 de 1981</t>
  </si>
  <si>
    <t>501</t>
  </si>
  <si>
    <t>OLAYA</t>
  </si>
  <si>
    <t>541</t>
  </si>
  <si>
    <t>PEÑOL</t>
  </si>
  <si>
    <t>1774</t>
  </si>
  <si>
    <t>543</t>
  </si>
  <si>
    <t>PEQUE</t>
  </si>
  <si>
    <t>Ordenanza 13 del 19 de Marzo de 1915</t>
  </si>
  <si>
    <t>576</t>
  </si>
  <si>
    <t>PUEBLORRICO</t>
  </si>
  <si>
    <t>Ordenanza 7 del 16 de Marzo de 1911</t>
  </si>
  <si>
    <t>579</t>
  </si>
  <si>
    <t>PUERTO BERRÍO</t>
  </si>
  <si>
    <t>Ley 104 del 16 de Enero de 1881</t>
  </si>
  <si>
    <t>585</t>
  </si>
  <si>
    <t>PUERTO NARE</t>
  </si>
  <si>
    <t>591</t>
  </si>
  <si>
    <t>PUERTO TRIUNFO</t>
  </si>
  <si>
    <t>Ordenanza 24 de Noviembre 28 de  1977</t>
  </si>
  <si>
    <t>604</t>
  </si>
  <si>
    <t>REMEDIOS</t>
  </si>
  <si>
    <t>1840</t>
  </si>
  <si>
    <t>607</t>
  </si>
  <si>
    <t>RETIRO</t>
  </si>
  <si>
    <t>615</t>
  </si>
  <si>
    <t>RIONEGRO</t>
  </si>
  <si>
    <t>1783</t>
  </si>
  <si>
    <t>628</t>
  </si>
  <si>
    <t>SABANALARGA</t>
  </si>
  <si>
    <t>1740</t>
  </si>
  <si>
    <t>631</t>
  </si>
  <si>
    <t>SABANETA</t>
  </si>
  <si>
    <t>Ordenanza 7 de Noviembre 30 de 1963</t>
  </si>
  <si>
    <t>642</t>
  </si>
  <si>
    <t>SALGAR</t>
  </si>
  <si>
    <t>Ordenanza 1 de Abril 2 de 1903</t>
  </si>
  <si>
    <t>647</t>
  </si>
  <si>
    <t>SAN ANDRÉS DE CUERQUÍA</t>
  </si>
  <si>
    <t>1856</t>
  </si>
  <si>
    <t>649</t>
  </si>
  <si>
    <t>SAN CARLOS</t>
  </si>
  <si>
    <t>1830</t>
  </si>
  <si>
    <t>652</t>
  </si>
  <si>
    <t>SAN FRANCISCO</t>
  </si>
  <si>
    <t>Ordenanza 57 de Feb 17 de 1986</t>
  </si>
  <si>
    <t>656</t>
  </si>
  <si>
    <t>SAN JERÓNIMO</t>
  </si>
  <si>
    <t>1616</t>
  </si>
  <si>
    <t>658</t>
  </si>
  <si>
    <t>SAN JOSÉ DE LA MONTAÑA</t>
  </si>
  <si>
    <t>659</t>
  </si>
  <si>
    <t>SAN JUAN DE URABÁ</t>
  </si>
  <si>
    <t>Ordenanza 58 de Marzo 3 de 1986</t>
  </si>
  <si>
    <t>660</t>
  </si>
  <si>
    <t>SAN LUIS</t>
  </si>
  <si>
    <t>Ley 136 del 1 de Mayo de 1882</t>
  </si>
  <si>
    <t>664</t>
  </si>
  <si>
    <t>SAN PEDRO DE LOS MILAGROS</t>
  </si>
  <si>
    <t>665</t>
  </si>
  <si>
    <t>SAN PEDRO DE URABÁ</t>
  </si>
  <si>
    <t>Ordenanza 22 de Noviembre 28 de 1977</t>
  </si>
  <si>
    <t>667</t>
  </si>
  <si>
    <t>SAN RAFAEL</t>
  </si>
  <si>
    <t>Ley 199 del 18 de Octubre de 1871</t>
  </si>
  <si>
    <t>670</t>
  </si>
  <si>
    <t>SAN ROQUE</t>
  </si>
  <si>
    <t>1884</t>
  </si>
  <si>
    <t>674</t>
  </si>
  <si>
    <t>SAN VICENTE FERRER</t>
  </si>
  <si>
    <t>679</t>
  </si>
  <si>
    <t>SANTA BÁRBARA</t>
  </si>
  <si>
    <t>1822</t>
  </si>
  <si>
    <t>686</t>
  </si>
  <si>
    <t>SANTA ROSA DE OSOS</t>
  </si>
  <si>
    <t>690</t>
  </si>
  <si>
    <t>SANTO DOMINGO</t>
  </si>
  <si>
    <t>1778</t>
  </si>
  <si>
    <t>697</t>
  </si>
  <si>
    <t>EL SANTUARIO</t>
  </si>
  <si>
    <t>1838</t>
  </si>
  <si>
    <t>736</t>
  </si>
  <si>
    <t>SEGOVIA</t>
  </si>
  <si>
    <t>Decreto departamental 156 del 3 de Junio de 1855</t>
  </si>
  <si>
    <t>756</t>
  </si>
  <si>
    <t>SONSÓN</t>
  </si>
  <si>
    <t>1808</t>
  </si>
  <si>
    <t>761</t>
  </si>
  <si>
    <t>SOPETRÁN</t>
  </si>
  <si>
    <t>789</t>
  </si>
  <si>
    <t>TÁMESIS</t>
  </si>
  <si>
    <t>790</t>
  </si>
  <si>
    <t>TARAZÁ</t>
  </si>
  <si>
    <t>Ordenanza 41 de Noviembre 22 de 1978</t>
  </si>
  <si>
    <t>792</t>
  </si>
  <si>
    <t>TARSO</t>
  </si>
  <si>
    <t>Ordenanza 03 del 14 de Marzo de 1936</t>
  </si>
  <si>
    <t>809</t>
  </si>
  <si>
    <t>TITIRIBÍ</t>
  </si>
  <si>
    <t>819</t>
  </si>
  <si>
    <t>TOLEDO</t>
  </si>
  <si>
    <t>Ordenanza 22 de Marzo 29 de 1915</t>
  </si>
  <si>
    <t>837</t>
  </si>
  <si>
    <t>TURBO</t>
  </si>
  <si>
    <t>842</t>
  </si>
  <si>
    <t>URAMITA</t>
  </si>
  <si>
    <t>Ordenanza 43 de Noviembre 29 de 1978</t>
  </si>
  <si>
    <t>847</t>
  </si>
  <si>
    <t>URRAO</t>
  </si>
  <si>
    <t>1834</t>
  </si>
  <si>
    <t>854</t>
  </si>
  <si>
    <t>VALDIVIA</t>
  </si>
  <si>
    <t>Ordenanza 08 del 1 de Abril de 1912</t>
  </si>
  <si>
    <t>856</t>
  </si>
  <si>
    <t>VALPARAÍSO</t>
  </si>
  <si>
    <t>Ley 20 de Agosto de 1864</t>
  </si>
  <si>
    <t>858</t>
  </si>
  <si>
    <t>VEGACHÍ</t>
  </si>
  <si>
    <t>Ordenanza 9 de Diciembre 15 de 1983</t>
  </si>
  <si>
    <t>861</t>
  </si>
  <si>
    <t>VENECIA</t>
  </si>
  <si>
    <t>Decreto departamental 480 del 7 de Mayo de 1909</t>
  </si>
  <si>
    <t>873</t>
  </si>
  <si>
    <t>VIGÍA DEL FUERTE</t>
  </si>
  <si>
    <t>Ordenanza 6 de Diciembre 15 de 1983</t>
  </si>
  <si>
    <t>885</t>
  </si>
  <si>
    <t>YALÍ</t>
  </si>
  <si>
    <t>Ordenanza 11 de Noviembrebre 12 de 1959</t>
  </si>
  <si>
    <t>887</t>
  </si>
  <si>
    <t>YARUMAL</t>
  </si>
  <si>
    <t>1911</t>
  </si>
  <si>
    <t>890</t>
  </si>
  <si>
    <t>YOLOMBÓ</t>
  </si>
  <si>
    <t>Decreto departamental 384 del 12 de Abril de 1883</t>
  </si>
  <si>
    <t>893</t>
  </si>
  <si>
    <t>YONDÓ</t>
  </si>
  <si>
    <t>Ordenanza 38 de Noviembrebre 23 de 1978</t>
  </si>
  <si>
    <t>895</t>
  </si>
  <si>
    <t>ZARAGOZA</t>
  </si>
  <si>
    <t>1770</t>
  </si>
  <si>
    <t>Aréa KM2 (MGN2024 DANE)</t>
  </si>
  <si>
    <t>Nom_Subregion</t>
  </si>
  <si>
    <t>ActAdmin_crear</t>
  </si>
  <si>
    <t>year_crear</t>
  </si>
  <si>
    <t>Nom_Prov_Oficial</t>
  </si>
  <si>
    <t>Cod_EATs</t>
  </si>
  <si>
    <t>Nom_EATs</t>
  </si>
  <si>
    <t>EAT01</t>
  </si>
  <si>
    <t>EAT00</t>
  </si>
  <si>
    <t>EAT5</t>
  </si>
  <si>
    <t>EAT10</t>
  </si>
  <si>
    <t>EAT6</t>
  </si>
  <si>
    <t>EAT3</t>
  </si>
  <si>
    <t>EAT7</t>
  </si>
  <si>
    <t>EAT4</t>
  </si>
  <si>
    <t>EAT8</t>
  </si>
  <si>
    <t>EAT9</t>
  </si>
  <si>
    <t>EAT11</t>
  </si>
  <si>
    <t>EAT2</t>
  </si>
  <si>
    <t>Nom_EATs_Oficial</t>
  </si>
  <si>
    <t>Cantidad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</si>
</sst>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 Nova Cond"/>
      <family val="2"/>
    </font>
    <font>
      <sz val="10"/>
      <color theme="1"/>
      <name val="Arial Nova Cond"/>
      <family val="2"/>
    </font>
    <font>
      <b/>
      <sz val="14"/>
      <color theme="1"/>
      <name val="Arial Nova Cond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Arial Nova Cond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 indent="1"/>
    </xf>
    <xf numFmtId="0" fontId="3" fillId="0" borderId="0" xfId="0" applyFont="1" applyBorder="1" applyAlignment="1">
      <alignment vertical="center" wrapText="1"/>
    </xf>
    <xf numFmtId="0" fontId="4" fillId="0" borderId="0" xfId="1" applyBorder="1" applyAlignment="1">
      <alignment horizontal="left" vertical="center" wrapText="1" indent="1"/>
    </xf>
    <xf numFmtId="0" fontId="4" fillId="0" borderId="0" xfId="1" applyAlignment="1">
      <alignment horizontal="left" vertical="center"/>
    </xf>
    <xf numFmtId="0" fontId="4" fillId="0" borderId="0" xfId="1" applyAlignment="1">
      <alignment horizontal="center" vertical="center"/>
    </xf>
    <xf numFmtId="0" fontId="0" fillId="0" borderId="0" xfId="0" applyNumberFormat="1"/>
    <xf numFmtId="165" fontId="0" fillId="0" borderId="0" xfId="0" applyNumberFormat="1"/>
    <xf numFmtId="164" fontId="2" fillId="0" borderId="0" xfId="0" applyNumberFormat="1" applyFont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numFmt numFmtId="164" formatCode="0.000000"/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numFmt numFmtId="164" formatCode="0.000000"/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B254E64-B274-448E-9481-16F9A6E31039}" autoFormatId="16" applyNumberFormats="0" applyBorderFormats="0" applyFontFormats="0" applyPatternFormats="0" applyAlignmentFormats="0" applyWidthHeightFormats="0">
  <queryTableRefresh nextId="12">
    <queryTableFields count="11">
      <queryTableField id="1" name="dpto_ccdgo" tableColumnId="1"/>
      <queryTableField id="2" name="mpio_ccdgo" tableColumnId="2"/>
      <queryTableField id="3" name="mpio_cdpmp" tableColumnId="3"/>
      <queryTableField id="4" name="dpto_cnmbr" tableColumnId="4"/>
      <queryTableField id="5" name="mpio_cnmbr" tableColumnId="5"/>
      <queryTableField id="6" name="mpio_crslc" tableColumnId="6"/>
      <queryTableField id="7" name="mpio_tipo" tableColumnId="7"/>
      <queryTableField id="8" name="mpio_narea" tableColumnId="8"/>
      <queryTableField id="9" name="mpio_nano" tableColumnId="9"/>
      <queryTableField id="10" name="shape_Leng" tableColumnId="10"/>
      <queryTableField id="11" name="shape_Area" tableColumnId="1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688F38-36D0-4DBF-9331-06369A062E2E}" name="tbl_DivpolaANtioquia" displayName="tbl_DivpolaANtioquia" ref="A2:O127" totalsRowShown="0" headerRowDxfId="58" dataDxfId="56" headerRowBorderDxfId="57" tableBorderDxfId="55" totalsRowBorderDxfId="54">
  <autoFilter ref="A2:O127" xr:uid="{E5688F38-36D0-4DBF-9331-06369A062E2E}"/>
  <tableColumns count="15">
    <tableColumn id="1" xr3:uid="{B27FA06B-B3D6-4CBB-BC1A-B145A09BCB87}" name="Cod_Gob_Subregion" dataDxfId="53"/>
    <tableColumn id="2" xr3:uid="{F83C4EBE-8C20-4FD0-A5BD-FD1841070823}" name="Nom_subregion" dataDxfId="52"/>
    <tableColumn id="3" xr3:uid="{AE1945FE-A256-4774-B1BC-A212B88279E5}" name="Cod_Gob_AM" dataDxfId="51"/>
    <tableColumn id="4" xr3:uid="{8582429A-853D-4D93-9B6D-BE93B720D2FE}" name="Nom_AM" dataDxfId="50"/>
    <tableColumn id="5" xr3:uid="{0C225507-26C7-4F7C-9AE8-10D920110C98}" name="Cod_Gob_RPG" dataDxfId="49"/>
    <tableColumn id="6" xr3:uid="{379F203F-DCED-4671-96AD-EC89DA9368F0}" name="Nom_RPG" dataDxfId="48"/>
    <tableColumn id="7" xr3:uid="{BC1B157D-BD30-41BE-87F6-0C70F74E3663}" name="Cod_Gob_Prov" dataDxfId="47"/>
    <tableColumn id="8" xr3:uid="{4CE1429E-05B7-48C2-829F-28E9B6555EC7}" name="Nom_Prov" dataDxfId="46"/>
    <tableColumn id="9" xr3:uid="{490CCD76-F8DF-46FA-A754-58A6FA5AB106}" name="Cod_Gob_Zona" dataDxfId="45"/>
    <tableColumn id="10" xr3:uid="{45C8939A-7887-4E1C-A25B-BB092DBE0CFA}" name="Nom_Zona" dataDxfId="44"/>
    <tableColumn id="11" xr3:uid="{0E0430AD-14A3-45E0-B4D2-74C1730EAF08}" name="Cod_DANE_Mun" dataDxfId="43"/>
    <tableColumn id="12" xr3:uid="{211040F6-9ECB-432F-9377-A503136BD7F2}" name="Nom_Mun" dataDxfId="42"/>
    <tableColumn id="13" xr3:uid="{5FE7DC20-5CB4-4BC4-8E9B-6DB6FC25D1A5}" name="Nom_Corto" dataDxfId="41"/>
    <tableColumn id="14" xr3:uid="{2B0E095E-8BA8-40F5-A127-2AD745F8C126}" name="Bandera_escudo" dataDxfId="40"/>
    <tableColumn id="15" xr3:uid="{0A702B7F-4B1B-43E8-8F1F-1D21F30B176A}" name="Aréa KM2 (MGN2024 DANE)" dataDxfId="3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C92041-1D67-4AAF-849D-0EC88D19101B}" name="EATs" displayName="EATs" ref="AR2:AV14" totalsRowShown="0" headerRowDxfId="38" headerRowBorderDxfId="37" tableBorderDxfId="36" totalsRowBorderDxfId="35">
  <autoFilter ref="AR2:AV14" xr:uid="{35C92041-1D67-4AAF-849D-0EC88D19101B}"/>
  <tableColumns count="5">
    <tableColumn id="1" xr3:uid="{A6ECC2CC-86CC-4F95-A3DB-45D0F7FC6C95}" name="Cod_EATs" dataDxfId="34"/>
    <tableColumn id="2" xr3:uid="{6F4BAFCC-03AA-49AE-8595-21D81EDBE914}" name="Nom_EATs" dataDxfId="33"/>
    <tableColumn id="3" xr3:uid="{5BCE45B7-2500-4838-A236-0B7C041652F7}" name="Nom_EATs_Oficial" dataDxfId="32">
      <calculatedColumnFormula>VLOOKUP(AS3,$AF$3:$AI$13,2,FALSE)</calculatedColumnFormula>
    </tableColumn>
    <tableColumn id="4" xr3:uid="{5C2283E0-3E11-4424-B4CB-C2C65394F098}" name="ActAdmin_crear" dataDxfId="31">
      <calculatedColumnFormula>VLOOKUP(AS3,$AF$3:$AI$13,3,FALSE)</calculatedColumnFormula>
    </tableColumn>
    <tableColumn id="5" xr3:uid="{443C3F4E-231D-4A6F-8BFD-5D00B22964ED}" name="year_crear" dataDxfId="30">
      <calculatedColumnFormula>VLOOKUP(AS3,$AF$3:$AI$13,4,FALSE)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3394A-4518-4CC0-BAC5-3D3AF1C06A2B}" name="Mpios_Antioquia_GeoprtalDANE_2024" displayName="Mpios_Antioquia_GeoprtalDANE_2024" ref="A1:K126" tableType="queryTable" totalsRowShown="0">
  <autoFilter ref="A1:K126" xr:uid="{ECF3394A-4518-4CC0-BAC5-3D3AF1C06A2B}"/>
  <tableColumns count="11">
    <tableColumn id="1" xr3:uid="{7CA47354-CE6F-444C-8943-B37B86EC2A9E}" uniqueName="1" name="dpto_ccdgo" queryTableFieldId="1" dataDxfId="29"/>
    <tableColumn id="2" xr3:uid="{C1044D4F-C1D0-4E89-9351-D08D2FC0A194}" uniqueName="2" name="mpio_ccdgo" queryTableFieldId="2" dataDxfId="28"/>
    <tableColumn id="3" xr3:uid="{CCF8DDE4-0990-4C69-907A-F30EC7DC96D8}" uniqueName="3" name="mpio_cdpmp" queryTableFieldId="3" dataDxfId="27"/>
    <tableColumn id="4" xr3:uid="{5F4CD14A-1CE7-4B3C-9EAE-004128ECA05E}" uniqueName="4" name="dpto_cnmbr" queryTableFieldId="4" dataDxfId="26"/>
    <tableColumn id="5" xr3:uid="{EF0F4365-C3BC-4247-8B67-56EED41D5F04}" uniqueName="5" name="mpio_cnmbr" queryTableFieldId="5" dataDxfId="25"/>
    <tableColumn id="6" xr3:uid="{7789479C-72AA-4348-A4A9-F3B7F2FA040C}" uniqueName="6" name="mpio_crslc" queryTableFieldId="6" dataDxfId="24"/>
    <tableColumn id="7" xr3:uid="{A39805DE-7959-4A0C-BDF4-E030A3DAF1C6}" uniqueName="7" name="mpio_tipo" queryTableFieldId="7" dataDxfId="23"/>
    <tableColumn id="8" xr3:uid="{E05A5058-5F92-436D-8863-1AEB889F5A5B}" uniqueName="8" name="mpio_narea" queryTableFieldId="8" dataDxfId="22"/>
    <tableColumn id="9" xr3:uid="{50492AE5-28FE-4078-BE2C-30578D7490A3}" uniqueName="9" name="mpio_nano" queryTableFieldId="9"/>
    <tableColumn id="10" xr3:uid="{80B8872F-9871-47A2-BCA0-C1A8BED2AF25}" uniqueName="10" name="shape_Leng" queryTableFieldId="10"/>
    <tableColumn id="11" xr3:uid="{5AA68749-27E0-4478-8D30-5DBEE3B57BF7}" uniqueName="11" name="shape_Area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9709BB-24F1-462F-9339-0F65C3E05397}" name="tbl_DivpolaANtioquia4" displayName="tbl_DivpolaANtioquia4" ref="A1:Q126" totalsRowShown="0" headerRowDxfId="21" dataDxfId="19" headerRowBorderDxfId="20" tableBorderDxfId="18" totalsRowBorderDxfId="17">
  <autoFilter ref="A1:Q126" xr:uid="{DE9709BB-24F1-462F-9339-0F65C3E05397}"/>
  <tableColumns count="17">
    <tableColumn id="1" xr3:uid="{DD7E223B-4831-457B-927E-0C5EB1C10648}" name="Cod_Gob_Subregion" dataDxfId="16"/>
    <tableColumn id="2" xr3:uid="{9264179D-296C-431B-8C1D-582C33325294}" name="Nom_subregion" dataDxfId="15"/>
    <tableColumn id="3" xr3:uid="{3BB75443-E0CE-497A-AFA2-CA5B7AB55649}" name="Cod_Gob_AM" dataDxfId="14"/>
    <tableColumn id="4" xr3:uid="{3B5DD4B3-5492-441D-B3FD-E665845EACB3}" name="Nom_AM" dataDxfId="13"/>
    <tableColumn id="5" xr3:uid="{408967F1-860D-4CFF-BAB0-73214673F702}" name="Cod_Gob_RPG" dataDxfId="12"/>
    <tableColumn id="6" xr3:uid="{D08D9602-F499-4F08-874A-9A3FE478E415}" name="Nom_RPG" dataDxfId="11"/>
    <tableColumn id="7" xr3:uid="{C537A4F3-791D-455D-B3EC-1179B97DE948}" name="Cod_Gob_Prov" dataDxfId="10"/>
    <tableColumn id="8" xr3:uid="{7B49909D-28E8-4CD8-90B9-A8386A4622DC}" name="Nom_Prov" dataDxfId="9"/>
    <tableColumn id="9" xr3:uid="{93442F36-42D8-4E0D-8017-72FFB377EE06}" name="Cod_Gob_Zona" dataDxfId="8"/>
    <tableColumn id="10" xr3:uid="{895B8C19-13A1-4EC5-8E72-67C75A524211}" name="Nom_Zona" dataDxfId="7"/>
    <tableColumn id="16" xr3:uid="{6329EDD4-F38D-4AB1-ACB2-5B6E81D680F0}" name="Cod_EATs" dataDxfId="6"/>
    <tableColumn id="17" xr3:uid="{550504AB-2A9D-4634-8A66-B182D7BF9825}" name="Nom_EATs" dataDxfId="5"/>
    <tableColumn id="11" xr3:uid="{EEC32E05-39C1-4115-A4B7-06E3DA220041}" name="Cod_DANE_Mun" dataDxfId="4"/>
    <tableColumn id="12" xr3:uid="{15098363-FC51-4203-9E5A-C6CB77CE09C0}" name="Nom_Mun" dataDxfId="3"/>
    <tableColumn id="13" xr3:uid="{D5F2B4E2-7FFD-46B3-A57A-4B09F1044660}" name="Nom_Corto" dataDxfId="2"/>
    <tableColumn id="14" xr3:uid="{3474B8CD-5914-442B-9BE1-9884442F371D}" name="Bandera_escudo" dataDxfId="1"/>
    <tableColumn id="15" xr3:uid="{40C81AB9-D964-4442-8929-8F8705ABD336}" name="Aréa KM2 (MGN2024 DANE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DA14-67DD-4ED8-9284-B5DAA01FD77E}">
  <dimension ref="A1:AV128"/>
  <sheetViews>
    <sheetView topLeftCell="H1" zoomScale="70" zoomScaleNormal="70" workbookViewId="0">
      <selection activeCell="R1" sqref="R1:T11"/>
    </sheetView>
  </sheetViews>
  <sheetFormatPr baseColWidth="10" defaultColWidth="10.88671875" defaultRowHeight="13.2" x14ac:dyDescent="0.3"/>
  <cols>
    <col min="1" max="1" width="19.6640625" style="2" customWidth="1"/>
    <col min="2" max="2" width="25.109375" style="6" customWidth="1"/>
    <col min="3" max="3" width="14" style="6" customWidth="1"/>
    <col min="4" max="4" width="37.5546875" style="6" customWidth="1"/>
    <col min="5" max="5" width="15.5546875" style="2" customWidth="1"/>
    <col min="6" max="6" width="19.33203125" style="6" bestFit="1" customWidth="1"/>
    <col min="7" max="7" width="15" style="2" customWidth="1"/>
    <col min="8" max="8" width="46.6640625" style="6" bestFit="1" customWidth="1"/>
    <col min="9" max="9" width="15.5546875" style="2" customWidth="1"/>
    <col min="10" max="10" width="22.44140625" style="6" bestFit="1" customWidth="1"/>
    <col min="11" max="11" width="16.109375" style="2" customWidth="1"/>
    <col min="12" max="12" width="21.33203125" style="6" customWidth="1"/>
    <col min="13" max="13" width="26" style="6" customWidth="1"/>
    <col min="14" max="15" width="29.88671875" style="6" customWidth="1"/>
    <col min="16" max="17" width="22" style="1" customWidth="1"/>
    <col min="18" max="18" width="23.5546875" style="1" customWidth="1"/>
    <col min="19" max="20" width="20.33203125" style="1" customWidth="1"/>
    <col min="21" max="21" width="25.109375" style="1" customWidth="1"/>
    <col min="22" max="22" width="11.88671875" style="1" bestFit="1" customWidth="1"/>
    <col min="23" max="23" width="26.88671875" style="1" customWidth="1"/>
    <col min="24" max="24" width="10.88671875" style="1"/>
    <col min="25" max="25" width="11.88671875" style="1" bestFit="1" customWidth="1"/>
    <col min="26" max="26" width="16.88671875" style="1" customWidth="1"/>
    <col min="27" max="27" width="56" style="1" bestFit="1" customWidth="1"/>
    <col min="28" max="28" width="20.88671875" style="1" customWidth="1"/>
    <col min="29" max="29" width="16.88671875" style="1" customWidth="1"/>
    <col min="30" max="30" width="13.5546875" style="1" customWidth="1"/>
    <col min="31" max="31" width="13" style="1" customWidth="1"/>
    <col min="32" max="32" width="46.6640625" style="1" bestFit="1" customWidth="1"/>
    <col min="33" max="33" width="71" style="1" customWidth="1"/>
    <col min="34" max="34" width="42.6640625" style="1" customWidth="1"/>
    <col min="35" max="35" width="18.6640625" style="1" customWidth="1"/>
    <col min="36" max="36" width="10.88671875" style="1"/>
    <col min="37" max="37" width="14" style="1" customWidth="1"/>
    <col min="38" max="38" width="24.5546875" style="1" customWidth="1"/>
    <col min="39" max="39" width="41" style="1" customWidth="1"/>
    <col min="40" max="40" width="26.33203125" style="1" customWidth="1"/>
    <col min="41" max="41" width="21.33203125" style="1" customWidth="1"/>
    <col min="42" max="43" width="10.88671875" style="1"/>
    <col min="44" max="44" width="20.33203125" style="1" customWidth="1"/>
    <col min="45" max="45" width="59.44140625" style="1" customWidth="1"/>
    <col min="46" max="46" width="43.6640625" style="1" customWidth="1"/>
    <col min="47" max="47" width="25.6640625" style="1" customWidth="1"/>
    <col min="48" max="48" width="15.44140625" style="1" customWidth="1"/>
    <col min="49" max="16384" width="10.88671875" style="1"/>
  </cols>
  <sheetData>
    <row r="1" spans="1:48" ht="34.5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0"/>
      <c r="O1" s="10"/>
      <c r="R1" s="39" t="s">
        <v>0</v>
      </c>
      <c r="S1" s="39"/>
      <c r="T1" s="35"/>
      <c r="V1" s="39" t="s">
        <v>1</v>
      </c>
      <c r="W1" s="39"/>
      <c r="Y1" s="39" t="s">
        <v>2</v>
      </c>
      <c r="Z1" s="39"/>
      <c r="AA1" s="39"/>
      <c r="AB1" s="39"/>
      <c r="AC1" s="39"/>
      <c r="AE1" s="39" t="s">
        <v>3</v>
      </c>
      <c r="AF1" s="39"/>
      <c r="AG1" s="39"/>
      <c r="AH1" s="39"/>
      <c r="AI1" s="39"/>
      <c r="AK1" s="39" t="s">
        <v>4</v>
      </c>
      <c r="AL1" s="39"/>
      <c r="AM1" s="39"/>
      <c r="AN1" s="39"/>
      <c r="AO1" s="39"/>
    </row>
    <row r="2" spans="1:48" s="7" customFormat="1" ht="35.1" customHeight="1" x14ac:dyDescent="0.3">
      <c r="A2" s="19" t="s">
        <v>390</v>
      </c>
      <c r="B2" s="20" t="s">
        <v>391</v>
      </c>
      <c r="C2" s="20" t="s">
        <v>5</v>
      </c>
      <c r="D2" s="20" t="s">
        <v>6</v>
      </c>
      <c r="E2" s="20" t="s">
        <v>7</v>
      </c>
      <c r="F2" s="20" t="s">
        <v>8</v>
      </c>
      <c r="G2" s="20" t="s">
        <v>392</v>
      </c>
      <c r="H2" s="20" t="s">
        <v>9</v>
      </c>
      <c r="I2" s="20" t="s">
        <v>389</v>
      </c>
      <c r="J2" s="20" t="s">
        <v>10</v>
      </c>
      <c r="K2" s="20" t="s">
        <v>393</v>
      </c>
      <c r="L2" s="20" t="s">
        <v>11</v>
      </c>
      <c r="M2" s="20" t="s">
        <v>12</v>
      </c>
      <c r="N2" s="20" t="s">
        <v>521</v>
      </c>
      <c r="O2" s="21" t="s">
        <v>891</v>
      </c>
      <c r="R2" s="3" t="s">
        <v>390</v>
      </c>
      <c r="S2" s="3" t="s">
        <v>892</v>
      </c>
      <c r="T2" s="3" t="s">
        <v>911</v>
      </c>
      <c r="V2" s="3" t="s">
        <v>389</v>
      </c>
      <c r="W2" s="3" t="s">
        <v>10</v>
      </c>
      <c r="Y2" s="3" t="s">
        <v>7</v>
      </c>
      <c r="Z2" s="3" t="s">
        <v>8</v>
      </c>
      <c r="AA2" s="3" t="s">
        <v>395</v>
      </c>
      <c r="AB2" s="3" t="s">
        <v>893</v>
      </c>
      <c r="AC2" s="3" t="s">
        <v>894</v>
      </c>
      <c r="AE2" s="3" t="s">
        <v>392</v>
      </c>
      <c r="AF2" s="3" t="s">
        <v>9</v>
      </c>
      <c r="AG2" s="3" t="s">
        <v>895</v>
      </c>
      <c r="AH2" s="3" t="s">
        <v>893</v>
      </c>
      <c r="AI2" s="3" t="s">
        <v>894</v>
      </c>
      <c r="AK2" s="3" t="s">
        <v>5</v>
      </c>
      <c r="AL2" s="3" t="s">
        <v>6</v>
      </c>
      <c r="AM2" s="3" t="s">
        <v>13</v>
      </c>
      <c r="AN2" s="3" t="s">
        <v>893</v>
      </c>
      <c r="AO2" s="3" t="s">
        <v>894</v>
      </c>
      <c r="AR2" s="30" t="s">
        <v>896</v>
      </c>
      <c r="AS2" s="31" t="s">
        <v>897</v>
      </c>
      <c r="AT2" s="20" t="s">
        <v>910</v>
      </c>
      <c r="AU2" s="20" t="s">
        <v>893</v>
      </c>
      <c r="AV2" s="21" t="s">
        <v>894</v>
      </c>
    </row>
    <row r="3" spans="1:48" ht="39.6" x14ac:dyDescent="0.3">
      <c r="A3" s="17" t="s">
        <v>14</v>
      </c>
      <c r="B3" s="5" t="s">
        <v>15</v>
      </c>
      <c r="C3" s="4" t="s">
        <v>16</v>
      </c>
      <c r="D3" s="5" t="s">
        <v>17</v>
      </c>
      <c r="E3" s="4" t="s">
        <v>18</v>
      </c>
      <c r="F3" s="5" t="s">
        <v>17</v>
      </c>
      <c r="G3" s="4" t="s">
        <v>19</v>
      </c>
      <c r="H3" s="5" t="s">
        <v>20</v>
      </c>
      <c r="I3" s="4" t="s">
        <v>21</v>
      </c>
      <c r="J3" s="5" t="s">
        <v>22</v>
      </c>
      <c r="K3" s="4" t="s">
        <v>23</v>
      </c>
      <c r="L3" s="5" t="s">
        <v>24</v>
      </c>
      <c r="M3" s="5" t="s">
        <v>24</v>
      </c>
      <c r="N3" s="5" t="s">
        <v>396</v>
      </c>
      <c r="O3" s="18">
        <v>507.14109460100002</v>
      </c>
      <c r="P3" s="13" t="str">
        <f>HYPERLINK(N3,"Ver imagen")</f>
        <v>Ver imagen</v>
      </c>
      <c r="Q3" s="12"/>
      <c r="R3" s="4" t="s">
        <v>25</v>
      </c>
      <c r="S3" s="5" t="s">
        <v>26</v>
      </c>
      <c r="T3" s="36">
        <f>COUNTIF(tbl_DivpolaANtioquia[Cod_Gob_Subregion],R3)</f>
        <v>10</v>
      </c>
      <c r="V3" s="4" t="s">
        <v>27</v>
      </c>
      <c r="W3" s="5" t="s">
        <v>28</v>
      </c>
      <c r="Y3" s="4" t="s">
        <v>18</v>
      </c>
      <c r="Z3" s="5" t="s">
        <v>17</v>
      </c>
      <c r="AA3" s="5" t="s">
        <v>17</v>
      </c>
      <c r="AB3" s="5" t="s">
        <v>17</v>
      </c>
      <c r="AC3" s="5" t="s">
        <v>17</v>
      </c>
      <c r="AE3" s="4" t="s">
        <v>29</v>
      </c>
      <c r="AF3" s="5" t="s">
        <v>17</v>
      </c>
      <c r="AG3" s="5" t="s">
        <v>17</v>
      </c>
      <c r="AH3" s="5" t="s">
        <v>17</v>
      </c>
      <c r="AI3" s="9" t="s">
        <v>17</v>
      </c>
      <c r="AK3" s="4" t="s">
        <v>30</v>
      </c>
      <c r="AL3" s="5" t="s">
        <v>31</v>
      </c>
      <c r="AM3" s="5" t="s">
        <v>32</v>
      </c>
      <c r="AN3" s="5" t="s">
        <v>33</v>
      </c>
      <c r="AO3" s="5">
        <v>1980</v>
      </c>
      <c r="AR3" s="27" t="s">
        <v>900</v>
      </c>
      <c r="AS3" s="5" t="s">
        <v>20</v>
      </c>
      <c r="AT3" s="26" t="str">
        <f>VLOOKUP(AS3,$AF$3:$AI$13,2,FALSE)</f>
        <v>Provincia Administrativa y de Planificación de La Paz</v>
      </c>
      <c r="AU3" s="26" t="str">
        <f>VLOOKUP(AS3,$AF$3:$AI$13,3,FALSE)</f>
        <v>Ordenanza 06 - Ordenanza 11</v>
      </c>
      <c r="AV3" s="28" t="str">
        <f>VLOOKUP(AS3,$AF$3:$AI$13,4,FALSE)</f>
        <v>2018 - 2025</v>
      </c>
    </row>
    <row r="4" spans="1:48" ht="39.6" x14ac:dyDescent="0.3">
      <c r="A4" s="17" t="s">
        <v>34</v>
      </c>
      <c r="B4" s="5" t="s">
        <v>35</v>
      </c>
      <c r="C4" s="4" t="s">
        <v>16</v>
      </c>
      <c r="D4" s="5" t="s">
        <v>17</v>
      </c>
      <c r="E4" s="4" t="s">
        <v>36</v>
      </c>
      <c r="F4" s="5" t="s">
        <v>37</v>
      </c>
      <c r="G4" s="4" t="s">
        <v>38</v>
      </c>
      <c r="H4" s="5" t="s">
        <v>39</v>
      </c>
      <c r="I4" s="4" t="s">
        <v>40</v>
      </c>
      <c r="J4" s="5" t="s">
        <v>41</v>
      </c>
      <c r="K4" s="4" t="s">
        <v>42</v>
      </c>
      <c r="L4" s="5" t="s">
        <v>43</v>
      </c>
      <c r="M4" s="5" t="s">
        <v>43</v>
      </c>
      <c r="N4" s="5" t="s">
        <v>397</v>
      </c>
      <c r="O4" s="18">
        <v>296.89404997600002</v>
      </c>
      <c r="P4" s="13" t="str">
        <f t="shared" ref="P4:P67" si="0">HYPERLINK(N4,"Ver imagen")</f>
        <v>Ver imagen</v>
      </c>
      <c r="R4" s="4" t="s">
        <v>44</v>
      </c>
      <c r="S4" s="5" t="s">
        <v>45</v>
      </c>
      <c r="T4" s="36">
        <f>COUNTIF(tbl_DivpolaANtioquia[Cod_Gob_Subregion],R4)</f>
        <v>6</v>
      </c>
      <c r="V4" s="4" t="s">
        <v>46</v>
      </c>
      <c r="W4" s="5" t="s">
        <v>47</v>
      </c>
      <c r="Y4" s="4" t="s">
        <v>48</v>
      </c>
      <c r="Z4" s="5" t="s">
        <v>49</v>
      </c>
      <c r="AA4" s="5" t="s">
        <v>50</v>
      </c>
      <c r="AB4" s="5" t="s">
        <v>394</v>
      </c>
      <c r="AC4" s="5" t="s">
        <v>394</v>
      </c>
      <c r="AE4" s="4" t="s">
        <v>51</v>
      </c>
      <c r="AF4" s="5" t="s">
        <v>52</v>
      </c>
      <c r="AG4" s="5" t="s">
        <v>53</v>
      </c>
      <c r="AH4" s="5" t="s">
        <v>54</v>
      </c>
      <c r="AI4" s="9">
        <v>2016</v>
      </c>
      <c r="AK4" s="4" t="s">
        <v>16</v>
      </c>
      <c r="AL4" s="5" t="s">
        <v>17</v>
      </c>
      <c r="AM4" s="5" t="s">
        <v>17</v>
      </c>
      <c r="AN4" s="5" t="s">
        <v>17</v>
      </c>
      <c r="AO4" s="5" t="s">
        <v>17</v>
      </c>
      <c r="AR4" s="27" t="s">
        <v>901</v>
      </c>
      <c r="AS4" s="5" t="s">
        <v>39</v>
      </c>
      <c r="AT4" s="26" t="str">
        <f t="shared" ref="AT4:AT14" si="1">VLOOKUP(AS4,$AF$3:$AI$13,2,FALSE)</f>
        <v>Provincia Administrativa y de Planificación Agroindustrial del Occidente Antioqueño</v>
      </c>
      <c r="AU4" s="26" t="str">
        <f t="shared" ref="AU4:AU10" si="2">VLOOKUP(AS4,$AF$3:$AI$13,3,FALSE)</f>
        <v xml:space="preserve">Ordenanza 45 </v>
      </c>
      <c r="AV4" s="28">
        <f t="shared" ref="AV4:AV10" si="3">VLOOKUP(AS4,$AF$3:$AI$13,4,FALSE)</f>
        <v>2024</v>
      </c>
    </row>
    <row r="5" spans="1:48" ht="39.6" x14ac:dyDescent="0.3">
      <c r="A5" s="17" t="s">
        <v>14</v>
      </c>
      <c r="B5" s="5" t="s">
        <v>15</v>
      </c>
      <c r="C5" s="4" t="s">
        <v>16</v>
      </c>
      <c r="D5" s="5" t="s">
        <v>17</v>
      </c>
      <c r="E5" s="4" t="s">
        <v>18</v>
      </c>
      <c r="F5" s="5" t="s">
        <v>17</v>
      </c>
      <c r="G5" s="4" t="s">
        <v>55</v>
      </c>
      <c r="H5" s="5" t="s">
        <v>56</v>
      </c>
      <c r="I5" s="4" t="s">
        <v>57</v>
      </c>
      <c r="J5" s="5" t="s">
        <v>58</v>
      </c>
      <c r="K5" s="4" t="s">
        <v>59</v>
      </c>
      <c r="L5" s="5" t="s">
        <v>60</v>
      </c>
      <c r="M5" s="5" t="s">
        <v>60</v>
      </c>
      <c r="N5" s="5" t="s">
        <v>398</v>
      </c>
      <c r="O5" s="18">
        <v>128.932153183</v>
      </c>
      <c r="P5" s="13" t="str">
        <f t="shared" si="0"/>
        <v>Ver imagen</v>
      </c>
      <c r="R5" s="4" t="s">
        <v>61</v>
      </c>
      <c r="S5" s="5" t="s">
        <v>62</v>
      </c>
      <c r="T5" s="36">
        <f>COUNTIF(tbl_DivpolaANtioquia[Cod_Gob_Subregion],R5)</f>
        <v>6</v>
      </c>
      <c r="V5" s="4" t="s">
        <v>63</v>
      </c>
      <c r="W5" s="5" t="s">
        <v>64</v>
      </c>
      <c r="Y5" s="4" t="s">
        <v>65</v>
      </c>
      <c r="Z5" s="5" t="s">
        <v>66</v>
      </c>
      <c r="AA5" s="5" t="s">
        <v>67</v>
      </c>
      <c r="AB5" s="5" t="s">
        <v>394</v>
      </c>
      <c r="AC5" s="5" t="s">
        <v>394</v>
      </c>
      <c r="AE5" s="4" t="s">
        <v>68</v>
      </c>
      <c r="AF5" s="5" t="s">
        <v>69</v>
      </c>
      <c r="AG5" s="5" t="s">
        <v>70</v>
      </c>
      <c r="AH5" s="5" t="s">
        <v>71</v>
      </c>
      <c r="AI5" s="9">
        <v>2024</v>
      </c>
      <c r="AR5" s="27" t="s">
        <v>902</v>
      </c>
      <c r="AS5" s="5" t="s">
        <v>56</v>
      </c>
      <c r="AT5" s="26" t="str">
        <f t="shared" si="1"/>
        <v>Provincia Administrativa y de Planificación del Agua, Bosques y El Turismo</v>
      </c>
      <c r="AU5" s="26" t="str">
        <f t="shared" si="2"/>
        <v>Ordenanza 11</v>
      </c>
      <c r="AV5" s="28">
        <f t="shared" si="3"/>
        <v>2018</v>
      </c>
    </row>
    <row r="6" spans="1:48" ht="39.6" x14ac:dyDescent="0.3">
      <c r="A6" s="17" t="s">
        <v>72</v>
      </c>
      <c r="B6" s="5" t="s">
        <v>73</v>
      </c>
      <c r="C6" s="4" t="s">
        <v>16</v>
      </c>
      <c r="D6" s="5" t="s">
        <v>17</v>
      </c>
      <c r="E6" s="4" t="s">
        <v>18</v>
      </c>
      <c r="F6" s="5" t="s">
        <v>17</v>
      </c>
      <c r="G6" s="4" t="s">
        <v>74</v>
      </c>
      <c r="H6" s="5" t="s">
        <v>75</v>
      </c>
      <c r="I6" s="4" t="s">
        <v>76</v>
      </c>
      <c r="J6" s="5" t="s">
        <v>77</v>
      </c>
      <c r="K6" s="4" t="s">
        <v>78</v>
      </c>
      <c r="L6" s="5" t="s">
        <v>79</v>
      </c>
      <c r="M6" s="5" t="s">
        <v>79</v>
      </c>
      <c r="N6" s="5" t="s">
        <v>399</v>
      </c>
      <c r="O6" s="18">
        <v>84.132477153699995</v>
      </c>
      <c r="P6" s="13" t="str">
        <f t="shared" si="0"/>
        <v>Ver imagen</v>
      </c>
      <c r="R6" s="4" t="s">
        <v>80</v>
      </c>
      <c r="S6" s="5" t="s">
        <v>81</v>
      </c>
      <c r="T6" s="36">
        <f>COUNTIF(tbl_DivpolaANtioquia[Cod_Gob_Subregion],R6)</f>
        <v>10</v>
      </c>
      <c r="V6" s="4" t="s">
        <v>82</v>
      </c>
      <c r="W6" s="5" t="s">
        <v>45</v>
      </c>
      <c r="Y6" s="4" t="s">
        <v>36</v>
      </c>
      <c r="Z6" s="5" t="s">
        <v>37</v>
      </c>
      <c r="AA6" s="5" t="s">
        <v>83</v>
      </c>
      <c r="AB6" s="5" t="s">
        <v>394</v>
      </c>
      <c r="AC6" s="5" t="s">
        <v>394</v>
      </c>
      <c r="AE6" s="4" t="s">
        <v>74</v>
      </c>
      <c r="AF6" s="5" t="s">
        <v>75</v>
      </c>
      <c r="AG6" s="5" t="s">
        <v>84</v>
      </c>
      <c r="AH6" s="5" t="s">
        <v>85</v>
      </c>
      <c r="AI6" s="9">
        <v>2018</v>
      </c>
      <c r="AR6" s="27" t="s">
        <v>903</v>
      </c>
      <c r="AS6" s="5" t="s">
        <v>75</v>
      </c>
      <c r="AT6" s="26" t="str">
        <f t="shared" si="1"/>
        <v>Provincia Administrativa y de Planificación de Penderisco y Sinifaná</v>
      </c>
      <c r="AU6" s="26" t="str">
        <f t="shared" si="2"/>
        <v xml:space="preserve">Ordenanza 04 </v>
      </c>
      <c r="AV6" s="28">
        <f t="shared" si="3"/>
        <v>2018</v>
      </c>
    </row>
    <row r="7" spans="1:48" ht="39.6" x14ac:dyDescent="0.3">
      <c r="A7" s="17" t="s">
        <v>80</v>
      </c>
      <c r="B7" s="5" t="s">
        <v>81</v>
      </c>
      <c r="C7" s="4" t="s">
        <v>16</v>
      </c>
      <c r="D7" s="5" t="s">
        <v>17</v>
      </c>
      <c r="E7" s="4" t="s">
        <v>18</v>
      </c>
      <c r="F7" s="5" t="s">
        <v>17</v>
      </c>
      <c r="G7" s="4" t="s">
        <v>86</v>
      </c>
      <c r="H7" s="5" t="s">
        <v>87</v>
      </c>
      <c r="I7" s="4" t="s">
        <v>88</v>
      </c>
      <c r="J7" s="5" t="s">
        <v>89</v>
      </c>
      <c r="K7" s="4" t="s">
        <v>90</v>
      </c>
      <c r="L7" s="5" t="s">
        <v>91</v>
      </c>
      <c r="M7" s="5" t="s">
        <v>91</v>
      </c>
      <c r="N7" s="5" t="s">
        <v>400</v>
      </c>
      <c r="O7" s="18">
        <v>1209.1454622700001</v>
      </c>
      <c r="P7" s="13" t="str">
        <f t="shared" si="0"/>
        <v>Ver imagen</v>
      </c>
      <c r="R7" s="4" t="s">
        <v>92</v>
      </c>
      <c r="S7" s="5" t="s">
        <v>93</v>
      </c>
      <c r="T7" s="36">
        <f>COUNTIF(tbl_DivpolaANtioquia[Cod_Gob_Subregion],R7)</f>
        <v>17</v>
      </c>
      <c r="V7" s="4" t="s">
        <v>94</v>
      </c>
      <c r="W7" s="5" t="s">
        <v>95</v>
      </c>
      <c r="Y7" s="4" t="s">
        <v>96</v>
      </c>
      <c r="Z7" s="5" t="s">
        <v>97</v>
      </c>
      <c r="AA7" s="5" t="s">
        <v>98</v>
      </c>
      <c r="AB7" s="5" t="s">
        <v>394</v>
      </c>
      <c r="AC7" s="5" t="s">
        <v>394</v>
      </c>
      <c r="AE7" s="4" t="s">
        <v>99</v>
      </c>
      <c r="AF7" s="5" t="s">
        <v>100</v>
      </c>
      <c r="AG7" s="5" t="s">
        <v>101</v>
      </c>
      <c r="AH7" s="5" t="s">
        <v>102</v>
      </c>
      <c r="AI7" s="9">
        <v>2018</v>
      </c>
      <c r="AR7" s="27" t="s">
        <v>904</v>
      </c>
      <c r="AS7" s="5" t="s">
        <v>87</v>
      </c>
      <c r="AT7" s="26" t="str">
        <f t="shared" si="1"/>
        <v>Provincia Administrativa y de Planificación Minero Agroecológica</v>
      </c>
      <c r="AU7" s="26" t="str">
        <f t="shared" si="2"/>
        <v>Ordenanza 30 - Ordenanza 07</v>
      </c>
      <c r="AV7" s="28" t="str">
        <f t="shared" si="3"/>
        <v>2019 - 2025</v>
      </c>
    </row>
    <row r="8" spans="1:48" ht="39.6" x14ac:dyDescent="0.3">
      <c r="A8" s="17" t="s">
        <v>72</v>
      </c>
      <c r="B8" s="5" t="s">
        <v>73</v>
      </c>
      <c r="C8" s="4" t="s">
        <v>16</v>
      </c>
      <c r="D8" s="5" t="s">
        <v>17</v>
      </c>
      <c r="E8" s="4" t="s">
        <v>18</v>
      </c>
      <c r="F8" s="5" t="s">
        <v>17</v>
      </c>
      <c r="G8" s="4" t="s">
        <v>99</v>
      </c>
      <c r="H8" s="5" t="s">
        <v>100</v>
      </c>
      <c r="I8" s="4" t="s">
        <v>103</v>
      </c>
      <c r="J8" s="5" t="s">
        <v>104</v>
      </c>
      <c r="K8" s="4" t="s">
        <v>105</v>
      </c>
      <c r="L8" s="5" t="s">
        <v>106</v>
      </c>
      <c r="M8" s="5" t="s">
        <v>106</v>
      </c>
      <c r="N8" s="5" t="s">
        <v>401</v>
      </c>
      <c r="O8" s="18">
        <v>402.46596621600003</v>
      </c>
      <c r="P8" s="13" t="str">
        <f t="shared" si="0"/>
        <v>Ver imagen</v>
      </c>
      <c r="R8" s="4" t="s">
        <v>34</v>
      </c>
      <c r="S8" s="5" t="s">
        <v>35</v>
      </c>
      <c r="T8" s="36">
        <f>COUNTIF(tbl_DivpolaANtioquia[Cod_Gob_Subregion],R8)</f>
        <v>19</v>
      </c>
      <c r="V8" s="4" t="s">
        <v>107</v>
      </c>
      <c r="W8" s="5" t="s">
        <v>108</v>
      </c>
      <c r="AE8" s="4" t="s">
        <v>19</v>
      </c>
      <c r="AF8" s="5" t="s">
        <v>20</v>
      </c>
      <c r="AG8" s="5" t="s">
        <v>109</v>
      </c>
      <c r="AH8" s="5" t="s">
        <v>524</v>
      </c>
      <c r="AI8" s="9" t="s">
        <v>522</v>
      </c>
      <c r="AR8" s="27" t="s">
        <v>905</v>
      </c>
      <c r="AS8" s="5" t="s">
        <v>100</v>
      </c>
      <c r="AT8" s="26" t="str">
        <f t="shared" si="1"/>
        <v>Provincia Administrativa de Planificación San Juan</v>
      </c>
      <c r="AU8" s="26" t="str">
        <f t="shared" si="2"/>
        <v>Ordenanza 05</v>
      </c>
      <c r="AV8" s="28">
        <f t="shared" si="3"/>
        <v>2018</v>
      </c>
    </row>
    <row r="9" spans="1:48" ht="39.6" x14ac:dyDescent="0.3">
      <c r="A9" s="17" t="s">
        <v>72</v>
      </c>
      <c r="B9" s="5" t="s">
        <v>73</v>
      </c>
      <c r="C9" s="4" t="s">
        <v>16</v>
      </c>
      <c r="D9" s="5" t="s">
        <v>17</v>
      </c>
      <c r="E9" s="4" t="s">
        <v>18</v>
      </c>
      <c r="F9" s="5" t="s">
        <v>17</v>
      </c>
      <c r="G9" s="4" t="s">
        <v>74</v>
      </c>
      <c r="H9" s="5" t="s">
        <v>75</v>
      </c>
      <c r="I9" s="4" t="s">
        <v>76</v>
      </c>
      <c r="J9" s="5" t="s">
        <v>77</v>
      </c>
      <c r="K9" s="4" t="s">
        <v>110</v>
      </c>
      <c r="L9" s="5" t="s">
        <v>111</v>
      </c>
      <c r="M9" s="5" t="s">
        <v>111</v>
      </c>
      <c r="N9" s="5" t="s">
        <v>402</v>
      </c>
      <c r="O9" s="18">
        <v>81.876301800999997</v>
      </c>
      <c r="P9" s="13" t="str">
        <f t="shared" si="0"/>
        <v>Ver imagen</v>
      </c>
      <c r="R9" s="4" t="s">
        <v>14</v>
      </c>
      <c r="S9" s="5" t="s">
        <v>15</v>
      </c>
      <c r="T9" s="36">
        <f>COUNTIF(tbl_DivpolaANtioquia[Cod_Gob_Subregion],R9)</f>
        <v>23</v>
      </c>
      <c r="V9" s="4" t="s">
        <v>88</v>
      </c>
      <c r="W9" s="5" t="s">
        <v>89</v>
      </c>
      <c r="Y9"/>
      <c r="Z9"/>
      <c r="AA9"/>
      <c r="AB9"/>
      <c r="AC9"/>
      <c r="AE9" s="4" t="s">
        <v>55</v>
      </c>
      <c r="AF9" s="5" t="s">
        <v>56</v>
      </c>
      <c r="AG9" s="5" t="s">
        <v>112</v>
      </c>
      <c r="AH9" s="5" t="s">
        <v>113</v>
      </c>
      <c r="AI9" s="9">
        <v>2018</v>
      </c>
      <c r="AR9" s="27" t="s">
        <v>906</v>
      </c>
      <c r="AS9" s="5" t="s">
        <v>115</v>
      </c>
      <c r="AT9" s="26" t="str">
        <f t="shared" si="1"/>
        <v>Provincia Administrativa y de Planificación Bioenergética del Norte de Antioquia</v>
      </c>
      <c r="AU9" s="26" t="str">
        <f t="shared" si="2"/>
        <v xml:space="preserve">Ordenanza 48 </v>
      </c>
      <c r="AV9" s="28">
        <f t="shared" si="3"/>
        <v>2024</v>
      </c>
    </row>
    <row r="10" spans="1:48" ht="39.6" x14ac:dyDescent="0.3">
      <c r="A10" s="17" t="s">
        <v>92</v>
      </c>
      <c r="B10" s="5" t="s">
        <v>93</v>
      </c>
      <c r="C10" s="4" t="s">
        <v>16</v>
      </c>
      <c r="D10" s="5" t="s">
        <v>17</v>
      </c>
      <c r="E10" s="4" t="s">
        <v>18</v>
      </c>
      <c r="F10" s="5" t="s">
        <v>17</v>
      </c>
      <c r="G10" s="4" t="s">
        <v>114</v>
      </c>
      <c r="H10" s="5" t="s">
        <v>115</v>
      </c>
      <c r="I10" s="4" t="s">
        <v>116</v>
      </c>
      <c r="J10" s="5" t="s">
        <v>117</v>
      </c>
      <c r="K10" s="4" t="s">
        <v>118</v>
      </c>
      <c r="L10" s="5" t="s">
        <v>119</v>
      </c>
      <c r="M10" s="5" t="s">
        <v>119</v>
      </c>
      <c r="N10" s="5" t="s">
        <v>403</v>
      </c>
      <c r="O10" s="18">
        <v>338.50228653300002</v>
      </c>
      <c r="P10" s="13" t="str">
        <f t="shared" si="0"/>
        <v>Ver imagen</v>
      </c>
      <c r="R10" s="4" t="s">
        <v>72</v>
      </c>
      <c r="S10" s="5" t="s">
        <v>73</v>
      </c>
      <c r="T10" s="36">
        <f>COUNTIF(tbl_DivpolaANtioquia[Cod_Gob_Subregion],R10)</f>
        <v>23</v>
      </c>
      <c r="V10" s="4" t="s">
        <v>120</v>
      </c>
      <c r="W10" s="5" t="s">
        <v>121</v>
      </c>
      <c r="Y10"/>
      <c r="Z10"/>
      <c r="AA10"/>
      <c r="AB10"/>
      <c r="AC10"/>
      <c r="AE10" s="4" t="s">
        <v>86</v>
      </c>
      <c r="AF10" s="5" t="s">
        <v>87</v>
      </c>
      <c r="AG10" s="5" t="s">
        <v>122</v>
      </c>
      <c r="AH10" s="5" t="s">
        <v>525</v>
      </c>
      <c r="AI10" s="9" t="s">
        <v>523</v>
      </c>
      <c r="AR10" s="27" t="s">
        <v>899</v>
      </c>
      <c r="AS10" s="5" t="s">
        <v>17</v>
      </c>
      <c r="AT10" s="26" t="str">
        <f t="shared" si="1"/>
        <v>No aplica</v>
      </c>
      <c r="AU10" s="26" t="str">
        <f t="shared" si="2"/>
        <v>No aplica</v>
      </c>
      <c r="AV10" s="28" t="str">
        <f t="shared" si="3"/>
        <v>No aplica</v>
      </c>
    </row>
    <row r="11" spans="1:48" ht="39.6" x14ac:dyDescent="0.3">
      <c r="A11" s="17" t="s">
        <v>80</v>
      </c>
      <c r="B11" s="5" t="s">
        <v>81</v>
      </c>
      <c r="C11" s="4" t="s">
        <v>16</v>
      </c>
      <c r="D11" s="5" t="s">
        <v>17</v>
      </c>
      <c r="E11" s="4" t="s">
        <v>18</v>
      </c>
      <c r="F11" s="5" t="s">
        <v>17</v>
      </c>
      <c r="G11" s="4" t="s">
        <v>114</v>
      </c>
      <c r="H11" s="5" t="s">
        <v>115</v>
      </c>
      <c r="I11" s="4" t="s">
        <v>123</v>
      </c>
      <c r="J11" s="5" t="s">
        <v>124</v>
      </c>
      <c r="K11" s="4" t="s">
        <v>125</v>
      </c>
      <c r="L11" s="5" t="s">
        <v>126</v>
      </c>
      <c r="M11" s="5" t="s">
        <v>126</v>
      </c>
      <c r="N11" s="5" t="s">
        <v>404</v>
      </c>
      <c r="O11" s="18">
        <v>1413.7757188099999</v>
      </c>
      <c r="P11" s="13" t="str">
        <f t="shared" si="0"/>
        <v>Ver imagen</v>
      </c>
      <c r="R11" s="4" t="s">
        <v>127</v>
      </c>
      <c r="S11" s="5" t="s">
        <v>128</v>
      </c>
      <c r="T11" s="36">
        <f>COUNTIF(tbl_DivpolaANtioquia[Cod_Gob_Subregion],R11)</f>
        <v>11</v>
      </c>
      <c r="V11" s="4" t="s">
        <v>123</v>
      </c>
      <c r="W11" s="5" t="s">
        <v>124</v>
      </c>
      <c r="Y11"/>
      <c r="Z11"/>
      <c r="AA11"/>
      <c r="AB11"/>
      <c r="AC11"/>
      <c r="AE11" s="4" t="s">
        <v>114</v>
      </c>
      <c r="AF11" s="5" t="s">
        <v>115</v>
      </c>
      <c r="AG11" s="5" t="s">
        <v>129</v>
      </c>
      <c r="AH11" s="5" t="s">
        <v>130</v>
      </c>
      <c r="AI11" s="9">
        <v>2024</v>
      </c>
      <c r="AR11" s="27" t="s">
        <v>898</v>
      </c>
      <c r="AS11" s="5" t="s">
        <v>31</v>
      </c>
      <c r="AT11" s="5" t="s">
        <v>32</v>
      </c>
      <c r="AU11" s="5" t="s">
        <v>33</v>
      </c>
      <c r="AV11" s="29">
        <v>1980</v>
      </c>
    </row>
    <row r="12" spans="1:48" ht="39.6" x14ac:dyDescent="0.3">
      <c r="A12" s="17" t="s">
        <v>34</v>
      </c>
      <c r="B12" s="5" t="s">
        <v>35</v>
      </c>
      <c r="C12" s="4" t="s">
        <v>16</v>
      </c>
      <c r="D12" s="5" t="s">
        <v>17</v>
      </c>
      <c r="E12" s="4" t="s">
        <v>18</v>
      </c>
      <c r="F12" s="5" t="s">
        <v>17</v>
      </c>
      <c r="G12" s="4" t="s">
        <v>74</v>
      </c>
      <c r="H12" s="5" t="s">
        <v>75</v>
      </c>
      <c r="I12" s="4" t="s">
        <v>131</v>
      </c>
      <c r="J12" s="5" t="s">
        <v>132</v>
      </c>
      <c r="K12" s="4" t="s">
        <v>133</v>
      </c>
      <c r="L12" s="5" t="s">
        <v>134</v>
      </c>
      <c r="M12" s="5" t="s">
        <v>134</v>
      </c>
      <c r="N12" s="5" t="s">
        <v>405</v>
      </c>
      <c r="O12" s="18">
        <v>255.92331397800001</v>
      </c>
      <c r="P12" s="13" t="str">
        <f t="shared" si="0"/>
        <v>Ver imagen</v>
      </c>
      <c r="R12"/>
      <c r="S12"/>
      <c r="T12"/>
      <c r="V12" s="4" t="s">
        <v>116</v>
      </c>
      <c r="W12" s="5" t="s">
        <v>117</v>
      </c>
      <c r="Y12"/>
      <c r="Z12"/>
      <c r="AA12"/>
      <c r="AB12"/>
      <c r="AC12"/>
      <c r="AE12" s="4" t="s">
        <v>135</v>
      </c>
      <c r="AF12" s="5" t="s">
        <v>136</v>
      </c>
      <c r="AG12" s="5" t="s">
        <v>137</v>
      </c>
      <c r="AH12" s="5" t="s">
        <v>138</v>
      </c>
      <c r="AI12" s="9">
        <v>2024</v>
      </c>
      <c r="AR12" s="27" t="s">
        <v>907</v>
      </c>
      <c r="AS12" s="5" t="s">
        <v>136</v>
      </c>
      <c r="AT12" s="26" t="str">
        <f t="shared" si="1"/>
        <v>Provincia Administrativa y de Planificación del Rio Grande</v>
      </c>
      <c r="AU12" s="26" t="str">
        <f t="shared" ref="AU12" si="4">VLOOKUP(AS12,$AF$3:$AI$13,3,FALSE)</f>
        <v xml:space="preserve">Ordenanza 46 </v>
      </c>
      <c r="AV12" s="28">
        <f t="shared" ref="AV12" si="5">VLOOKUP(AS12,$AF$3:$AI$13,4,FALSE)</f>
        <v>2024</v>
      </c>
    </row>
    <row r="13" spans="1:48" ht="39.6" x14ac:dyDescent="0.3">
      <c r="A13" s="17" t="s">
        <v>127</v>
      </c>
      <c r="B13" s="5" t="s">
        <v>128</v>
      </c>
      <c r="C13" s="4" t="s">
        <v>16</v>
      </c>
      <c r="D13" s="5" t="s">
        <v>17</v>
      </c>
      <c r="E13" s="4" t="s">
        <v>96</v>
      </c>
      <c r="F13" s="5" t="s">
        <v>97</v>
      </c>
      <c r="G13" s="4" t="s">
        <v>29</v>
      </c>
      <c r="H13" s="5" t="s">
        <v>17</v>
      </c>
      <c r="I13" s="4" t="s">
        <v>139</v>
      </c>
      <c r="J13" s="5" t="s">
        <v>28</v>
      </c>
      <c r="K13" s="4" t="s">
        <v>140</v>
      </c>
      <c r="L13" s="5" t="s">
        <v>141</v>
      </c>
      <c r="M13" s="5" t="s">
        <v>141</v>
      </c>
      <c r="N13" s="5" t="s">
        <v>406</v>
      </c>
      <c r="O13" s="18">
        <v>535.15628883800002</v>
      </c>
      <c r="P13" s="13" t="str">
        <f t="shared" si="0"/>
        <v>Ver imagen</v>
      </c>
      <c r="R13"/>
      <c r="S13"/>
      <c r="T13"/>
      <c r="V13" s="4" t="s">
        <v>142</v>
      </c>
      <c r="W13" s="5" t="s">
        <v>143</v>
      </c>
      <c r="Y13"/>
      <c r="Z13"/>
      <c r="AA13"/>
      <c r="AB13"/>
      <c r="AC13"/>
      <c r="AE13" s="4" t="s">
        <v>38</v>
      </c>
      <c r="AF13" s="5" t="s">
        <v>39</v>
      </c>
      <c r="AG13" s="5" t="s">
        <v>144</v>
      </c>
      <c r="AH13" s="5" t="s">
        <v>145</v>
      </c>
      <c r="AI13" s="9">
        <v>2024</v>
      </c>
      <c r="AR13" s="27" t="s">
        <v>908</v>
      </c>
      <c r="AS13" s="5" t="s">
        <v>69</v>
      </c>
      <c r="AT13" s="26" t="str">
        <f t="shared" si="1"/>
        <v>Provincia Administrativa y de Planificación Turística y Agroecológica del Occidente Antioqueño</v>
      </c>
      <c r="AU13" s="26" t="str">
        <f t="shared" ref="AU13:AU14" si="6">VLOOKUP(AS13,$AF$3:$AI$13,3,FALSE)</f>
        <v>Ordenanza 47</v>
      </c>
      <c r="AV13" s="28">
        <f t="shared" ref="AV13:AV14" si="7">VLOOKUP(AS13,$AF$3:$AI$13,4,FALSE)</f>
        <v>2024</v>
      </c>
    </row>
    <row r="14" spans="1:48" ht="39.6" x14ac:dyDescent="0.3">
      <c r="A14" s="17" t="s">
        <v>127</v>
      </c>
      <c r="B14" s="5" t="s">
        <v>128</v>
      </c>
      <c r="C14" s="4" t="s">
        <v>16</v>
      </c>
      <c r="D14" s="5" t="s">
        <v>17</v>
      </c>
      <c r="E14" s="4" t="s">
        <v>96</v>
      </c>
      <c r="F14" s="5" t="s">
        <v>97</v>
      </c>
      <c r="G14" s="4" t="s">
        <v>29</v>
      </c>
      <c r="H14" s="5" t="s">
        <v>17</v>
      </c>
      <c r="I14" s="4" t="s">
        <v>146</v>
      </c>
      <c r="J14" s="5" t="s">
        <v>93</v>
      </c>
      <c r="K14" s="4" t="s">
        <v>147</v>
      </c>
      <c r="L14" s="5" t="s">
        <v>148</v>
      </c>
      <c r="M14" s="5" t="s">
        <v>148</v>
      </c>
      <c r="N14" s="5" t="s">
        <v>407</v>
      </c>
      <c r="O14" s="18">
        <v>754.23789037300003</v>
      </c>
      <c r="P14" s="13" t="str">
        <f t="shared" si="0"/>
        <v>Ver imagen</v>
      </c>
      <c r="R14"/>
      <c r="S14"/>
      <c r="T14"/>
      <c r="V14" s="4" t="s">
        <v>149</v>
      </c>
      <c r="W14" s="5" t="s">
        <v>150</v>
      </c>
      <c r="Y14"/>
      <c r="Z14"/>
      <c r="AA14"/>
      <c r="AB14"/>
      <c r="AC14"/>
      <c r="AE14"/>
      <c r="AF14"/>
      <c r="AG14"/>
      <c r="AH14"/>
      <c r="AI14"/>
      <c r="AR14" s="32" t="s">
        <v>909</v>
      </c>
      <c r="AS14" s="23" t="s">
        <v>52</v>
      </c>
      <c r="AT14" s="33" t="str">
        <f t="shared" si="1"/>
        <v>Provincia Administrativa y Planificación Cártama</v>
      </c>
      <c r="AU14" s="33" t="str">
        <f t="shared" si="6"/>
        <v xml:space="preserve">Ordenanza 54 </v>
      </c>
      <c r="AV14" s="34">
        <f t="shared" si="7"/>
        <v>2016</v>
      </c>
    </row>
    <row r="15" spans="1:48" ht="39.6" x14ac:dyDescent="0.3">
      <c r="A15" s="17" t="s">
        <v>14</v>
      </c>
      <c r="B15" s="5" t="s">
        <v>15</v>
      </c>
      <c r="C15" s="4" t="s">
        <v>16</v>
      </c>
      <c r="D15" s="5" t="s">
        <v>17</v>
      </c>
      <c r="E15" s="4" t="s">
        <v>18</v>
      </c>
      <c r="F15" s="5" t="s">
        <v>17</v>
      </c>
      <c r="G15" s="4" t="s">
        <v>19</v>
      </c>
      <c r="H15" s="5" t="s">
        <v>20</v>
      </c>
      <c r="I15" s="4" t="s">
        <v>21</v>
      </c>
      <c r="J15" s="5" t="s">
        <v>22</v>
      </c>
      <c r="K15" s="4" t="s">
        <v>151</v>
      </c>
      <c r="L15" s="5" t="s">
        <v>152</v>
      </c>
      <c r="M15" s="5" t="s">
        <v>152</v>
      </c>
      <c r="N15" s="5" t="s">
        <v>408</v>
      </c>
      <c r="O15" s="18">
        <v>245.341782088</v>
      </c>
      <c r="P15" s="13" t="str">
        <f t="shared" si="0"/>
        <v>Ver imagen</v>
      </c>
      <c r="R15"/>
      <c r="S15"/>
      <c r="T15"/>
      <c r="V15" s="4" t="s">
        <v>40</v>
      </c>
      <c r="W15" s="5" t="s">
        <v>41</v>
      </c>
      <c r="Y15"/>
      <c r="Z15"/>
      <c r="AA15"/>
      <c r="AB15"/>
      <c r="AC15"/>
      <c r="AE15"/>
      <c r="AF15"/>
      <c r="AG15"/>
      <c r="AH15"/>
      <c r="AI15"/>
      <c r="AR15"/>
      <c r="AS15"/>
    </row>
    <row r="16" spans="1:48" ht="39.6" x14ac:dyDescent="0.3">
      <c r="A16" s="17" t="s">
        <v>34</v>
      </c>
      <c r="B16" s="5" t="s">
        <v>35</v>
      </c>
      <c r="C16" s="4" t="s">
        <v>16</v>
      </c>
      <c r="D16" s="5" t="s">
        <v>17</v>
      </c>
      <c r="E16" s="4" t="s">
        <v>36</v>
      </c>
      <c r="F16" s="5" t="s">
        <v>37</v>
      </c>
      <c r="G16" s="4" t="s">
        <v>29</v>
      </c>
      <c r="H16" s="5" t="s">
        <v>17</v>
      </c>
      <c r="I16" s="4" t="s">
        <v>131</v>
      </c>
      <c r="J16" s="5" t="s">
        <v>132</v>
      </c>
      <c r="K16" s="4" t="s">
        <v>153</v>
      </c>
      <c r="L16" s="5" t="s">
        <v>154</v>
      </c>
      <c r="M16" s="5" t="s">
        <v>154</v>
      </c>
      <c r="N16" s="5" t="s">
        <v>409</v>
      </c>
      <c r="O16" s="18">
        <v>110.43497503499999</v>
      </c>
      <c r="P16" s="13" t="str">
        <f t="shared" si="0"/>
        <v>Ver imagen</v>
      </c>
      <c r="R16"/>
      <c r="S16"/>
      <c r="T16"/>
      <c r="V16" s="4" t="s">
        <v>131</v>
      </c>
      <c r="W16" s="5" t="s">
        <v>132</v>
      </c>
      <c r="AE16"/>
      <c r="AF16"/>
      <c r="AG16"/>
      <c r="AH16"/>
      <c r="AI16"/>
      <c r="AR16"/>
      <c r="AS16"/>
    </row>
    <row r="17" spans="1:45" ht="39.6" x14ac:dyDescent="0.3">
      <c r="A17" s="17" t="s">
        <v>25</v>
      </c>
      <c r="B17" s="5" t="s">
        <v>26</v>
      </c>
      <c r="C17" s="4" t="s">
        <v>30</v>
      </c>
      <c r="D17" s="5" t="s">
        <v>32</v>
      </c>
      <c r="E17" s="4" t="s">
        <v>18</v>
      </c>
      <c r="F17" s="5" t="s">
        <v>17</v>
      </c>
      <c r="G17" s="4" t="s">
        <v>29</v>
      </c>
      <c r="H17" s="5" t="s">
        <v>17</v>
      </c>
      <c r="I17" s="4" t="s">
        <v>46</v>
      </c>
      <c r="J17" s="5" t="s">
        <v>47</v>
      </c>
      <c r="K17" s="4" t="s">
        <v>155</v>
      </c>
      <c r="L17" s="5" t="s">
        <v>156</v>
      </c>
      <c r="M17" s="5" t="s">
        <v>156</v>
      </c>
      <c r="N17" s="5" t="s">
        <v>410</v>
      </c>
      <c r="O17" s="18">
        <v>205.64178123400001</v>
      </c>
      <c r="P17" s="13" t="str">
        <f t="shared" si="0"/>
        <v>Ver imagen</v>
      </c>
      <c r="R17"/>
      <c r="S17"/>
      <c r="T17"/>
      <c r="V17" s="4" t="s">
        <v>21</v>
      </c>
      <c r="W17" s="5" t="s">
        <v>22</v>
      </c>
      <c r="Y17"/>
      <c r="Z17"/>
      <c r="AA17"/>
      <c r="AB17"/>
      <c r="AC17"/>
      <c r="AE17"/>
      <c r="AF17"/>
      <c r="AG17"/>
      <c r="AH17"/>
      <c r="AI17"/>
    </row>
    <row r="18" spans="1:45" ht="39.6" x14ac:dyDescent="0.3">
      <c r="A18" s="17" t="s">
        <v>25</v>
      </c>
      <c r="B18" s="5" t="s">
        <v>26</v>
      </c>
      <c r="C18" s="4" t="s">
        <v>30</v>
      </c>
      <c r="D18" s="5" t="s">
        <v>32</v>
      </c>
      <c r="E18" s="4" t="s">
        <v>18</v>
      </c>
      <c r="F18" s="5" t="s">
        <v>17</v>
      </c>
      <c r="G18" s="4" t="s">
        <v>29</v>
      </c>
      <c r="H18" s="5" t="s">
        <v>17</v>
      </c>
      <c r="I18" s="4" t="s">
        <v>46</v>
      </c>
      <c r="J18" s="5" t="s">
        <v>47</v>
      </c>
      <c r="K18" s="4" t="s">
        <v>157</v>
      </c>
      <c r="L18" s="5" t="s">
        <v>158</v>
      </c>
      <c r="M18" s="5" t="s">
        <v>158</v>
      </c>
      <c r="N18" s="5" t="s">
        <v>411</v>
      </c>
      <c r="O18" s="18">
        <v>147.69428275499999</v>
      </c>
      <c r="P18" s="13" t="str">
        <f t="shared" si="0"/>
        <v>Ver imagen</v>
      </c>
      <c r="R18"/>
      <c r="S18"/>
      <c r="T18"/>
      <c r="V18" s="4" t="s">
        <v>57</v>
      </c>
      <c r="W18" s="5" t="s">
        <v>58</v>
      </c>
      <c r="Y18"/>
      <c r="Z18"/>
      <c r="AB18"/>
      <c r="AC18"/>
      <c r="AE18"/>
      <c r="AF18"/>
      <c r="AG18"/>
      <c r="AH18"/>
      <c r="AI18"/>
    </row>
    <row r="19" spans="1:45" ht="39.6" x14ac:dyDescent="0.3">
      <c r="A19" s="17" t="s">
        <v>92</v>
      </c>
      <c r="B19" s="5" t="s">
        <v>93</v>
      </c>
      <c r="C19" s="4" t="s">
        <v>16</v>
      </c>
      <c r="D19" s="5" t="s">
        <v>17</v>
      </c>
      <c r="E19" s="4" t="s">
        <v>18</v>
      </c>
      <c r="F19" s="5" t="s">
        <v>17</v>
      </c>
      <c r="G19" s="4" t="s">
        <v>135</v>
      </c>
      <c r="H19" s="5" t="s">
        <v>136</v>
      </c>
      <c r="I19" s="4" t="s">
        <v>142</v>
      </c>
      <c r="J19" s="5" t="s">
        <v>143</v>
      </c>
      <c r="K19" s="4" t="s">
        <v>159</v>
      </c>
      <c r="L19" s="5" t="s">
        <v>160</v>
      </c>
      <c r="M19" s="5" t="s">
        <v>160</v>
      </c>
      <c r="N19" s="5" t="s">
        <v>412</v>
      </c>
      <c r="O19" s="18">
        <v>296.15316702000001</v>
      </c>
      <c r="P19" s="13" t="str">
        <f t="shared" si="0"/>
        <v>Ver imagen</v>
      </c>
      <c r="R19"/>
      <c r="S19"/>
      <c r="T19"/>
      <c r="V19" s="4" t="s">
        <v>161</v>
      </c>
      <c r="W19" s="5" t="s">
        <v>162</v>
      </c>
      <c r="Y19"/>
      <c r="Z19"/>
      <c r="AA19"/>
      <c r="AB19"/>
      <c r="AC19"/>
      <c r="AE19"/>
      <c r="AF19"/>
      <c r="AG19"/>
      <c r="AH19"/>
      <c r="AI19"/>
    </row>
    <row r="20" spans="1:45" ht="39.6" x14ac:dyDescent="0.3">
      <c r="A20" s="17" t="s">
        <v>72</v>
      </c>
      <c r="B20" s="5" t="s">
        <v>73</v>
      </c>
      <c r="C20" s="4" t="s">
        <v>16</v>
      </c>
      <c r="D20" s="5" t="s">
        <v>17</v>
      </c>
      <c r="E20" s="4" t="s">
        <v>18</v>
      </c>
      <c r="F20" s="5" t="s">
        <v>17</v>
      </c>
      <c r="G20" s="4" t="s">
        <v>99</v>
      </c>
      <c r="H20" s="5" t="s">
        <v>100</v>
      </c>
      <c r="I20" s="4" t="s">
        <v>103</v>
      </c>
      <c r="J20" s="5" t="s">
        <v>104</v>
      </c>
      <c r="K20" s="4" t="s">
        <v>163</v>
      </c>
      <c r="L20" s="5" t="s">
        <v>164</v>
      </c>
      <c r="M20" s="5" t="s">
        <v>164</v>
      </c>
      <c r="N20" s="5" t="s">
        <v>413</v>
      </c>
      <c r="O20" s="18">
        <v>180.52492709399999</v>
      </c>
      <c r="P20" s="13" t="str">
        <f t="shared" si="0"/>
        <v>Ver imagen</v>
      </c>
      <c r="R20"/>
      <c r="S20"/>
      <c r="T20"/>
      <c r="V20" s="4" t="s">
        <v>165</v>
      </c>
      <c r="W20" s="5" t="s">
        <v>166</v>
      </c>
      <c r="Y20"/>
      <c r="Z20"/>
      <c r="AA20"/>
      <c r="AB20"/>
      <c r="AC20"/>
      <c r="AE20"/>
      <c r="AF20"/>
      <c r="AG20"/>
      <c r="AH20"/>
      <c r="AI20"/>
    </row>
    <row r="21" spans="1:45" ht="39.6" x14ac:dyDescent="0.3">
      <c r="A21" s="17" t="s">
        <v>72</v>
      </c>
      <c r="B21" s="5" t="s">
        <v>73</v>
      </c>
      <c r="C21" s="4" t="s">
        <v>16</v>
      </c>
      <c r="D21" s="5" t="s">
        <v>17</v>
      </c>
      <c r="E21" s="4" t="s">
        <v>18</v>
      </c>
      <c r="F21" s="5" t="s">
        <v>17</v>
      </c>
      <c r="G21" s="4" t="s">
        <v>74</v>
      </c>
      <c r="H21" s="5" t="s">
        <v>75</v>
      </c>
      <c r="I21" s="4" t="s">
        <v>167</v>
      </c>
      <c r="J21" s="5" t="s">
        <v>168</v>
      </c>
      <c r="K21" s="4" t="s">
        <v>169</v>
      </c>
      <c r="L21" s="5" t="s">
        <v>170</v>
      </c>
      <c r="M21" s="5" t="s">
        <v>170</v>
      </c>
      <c r="N21" s="5" t="s">
        <v>414</v>
      </c>
      <c r="O21" s="18">
        <v>262.36750224299999</v>
      </c>
      <c r="P21" s="13" t="str">
        <f t="shared" si="0"/>
        <v>Ver imagen</v>
      </c>
      <c r="R21"/>
      <c r="S21"/>
      <c r="T21"/>
      <c r="V21" s="4" t="s">
        <v>76</v>
      </c>
      <c r="W21" s="5" t="s">
        <v>77</v>
      </c>
      <c r="Y21"/>
      <c r="Z21"/>
      <c r="AA21"/>
      <c r="AB21"/>
      <c r="AC21"/>
      <c r="AE21"/>
      <c r="AF21"/>
      <c r="AG21"/>
      <c r="AH21"/>
      <c r="AI21"/>
    </row>
    <row r="22" spans="1:45" ht="39.6" x14ac:dyDescent="0.3">
      <c r="A22" s="17" t="s">
        <v>92</v>
      </c>
      <c r="B22" s="5" t="s">
        <v>93</v>
      </c>
      <c r="C22" s="4" t="s">
        <v>16</v>
      </c>
      <c r="D22" s="5" t="s">
        <v>17</v>
      </c>
      <c r="E22" s="4" t="s">
        <v>18</v>
      </c>
      <c r="F22" s="5" t="s">
        <v>17</v>
      </c>
      <c r="G22" s="4" t="s">
        <v>114</v>
      </c>
      <c r="H22" s="5" t="s">
        <v>115</v>
      </c>
      <c r="I22" s="4" t="s">
        <v>116</v>
      </c>
      <c r="J22" s="5" t="s">
        <v>117</v>
      </c>
      <c r="K22" s="4" t="s">
        <v>171</v>
      </c>
      <c r="L22" s="5" t="s">
        <v>172</v>
      </c>
      <c r="M22" s="5" t="s">
        <v>172</v>
      </c>
      <c r="N22" s="5" t="s">
        <v>415</v>
      </c>
      <c r="O22" s="18">
        <v>376.34675581800002</v>
      </c>
      <c r="P22" s="13" t="str">
        <f t="shared" si="0"/>
        <v>Ver imagen</v>
      </c>
      <c r="R22"/>
      <c r="S22"/>
      <c r="T22"/>
      <c r="V22" s="4" t="s">
        <v>103</v>
      </c>
      <c r="W22" s="5" t="s">
        <v>104</v>
      </c>
      <c r="Y22"/>
      <c r="Z22"/>
      <c r="AA22"/>
      <c r="AB22"/>
      <c r="AC22"/>
      <c r="AE22"/>
      <c r="AF22"/>
      <c r="AG22"/>
      <c r="AH22"/>
      <c r="AI22"/>
    </row>
    <row r="23" spans="1:45" ht="39.6" x14ac:dyDescent="0.3">
      <c r="A23" s="17" t="s">
        <v>34</v>
      </c>
      <c r="B23" s="5" t="s">
        <v>35</v>
      </c>
      <c r="C23" s="4" t="s">
        <v>16</v>
      </c>
      <c r="D23" s="5" t="s">
        <v>17</v>
      </c>
      <c r="E23" s="4" t="s">
        <v>36</v>
      </c>
      <c r="F23" s="5" t="s">
        <v>37</v>
      </c>
      <c r="G23" s="4" t="s">
        <v>68</v>
      </c>
      <c r="H23" s="5" t="s">
        <v>69</v>
      </c>
      <c r="I23" s="4" t="s">
        <v>131</v>
      </c>
      <c r="J23" s="5" t="s">
        <v>132</v>
      </c>
      <c r="K23" s="4" t="s">
        <v>173</v>
      </c>
      <c r="L23" s="5" t="s">
        <v>174</v>
      </c>
      <c r="M23" s="5" t="s">
        <v>174</v>
      </c>
      <c r="N23" s="5" t="s">
        <v>416</v>
      </c>
      <c r="O23" s="18">
        <v>355.29786474700001</v>
      </c>
      <c r="P23" s="13" t="str">
        <f t="shared" si="0"/>
        <v>Ver imagen</v>
      </c>
      <c r="R23"/>
      <c r="S23"/>
      <c r="T23"/>
      <c r="V23" s="4" t="s">
        <v>167</v>
      </c>
      <c r="W23" s="5" t="s">
        <v>168</v>
      </c>
      <c r="Y23"/>
      <c r="Z23"/>
      <c r="AA23"/>
      <c r="AB23"/>
      <c r="AC23"/>
      <c r="AE23"/>
      <c r="AF23"/>
      <c r="AG23"/>
      <c r="AH23"/>
      <c r="AI23"/>
    </row>
    <row r="24" spans="1:45" ht="39.6" x14ac:dyDescent="0.3">
      <c r="A24" s="17" t="s">
        <v>44</v>
      </c>
      <c r="B24" s="5" t="s">
        <v>45</v>
      </c>
      <c r="C24" s="4" t="s">
        <v>16</v>
      </c>
      <c r="D24" s="5" t="s">
        <v>17</v>
      </c>
      <c r="E24" s="4" t="s">
        <v>48</v>
      </c>
      <c r="F24" s="5" t="s">
        <v>49</v>
      </c>
      <c r="G24" s="4" t="s">
        <v>29</v>
      </c>
      <c r="H24" s="5" t="s">
        <v>17</v>
      </c>
      <c r="I24" s="4" t="s">
        <v>82</v>
      </c>
      <c r="J24" s="5" t="s">
        <v>45</v>
      </c>
      <c r="K24" s="4" t="s">
        <v>175</v>
      </c>
      <c r="L24" s="5" t="s">
        <v>176</v>
      </c>
      <c r="M24" s="5" t="s">
        <v>176</v>
      </c>
      <c r="N24" s="5" t="s">
        <v>417</v>
      </c>
      <c r="O24" s="18">
        <v>1873.7339007400001</v>
      </c>
      <c r="P24" s="13" t="str">
        <f t="shared" si="0"/>
        <v>Ver imagen</v>
      </c>
      <c r="R24"/>
      <c r="S24"/>
      <c r="T24"/>
      <c r="V24" s="4" t="s">
        <v>177</v>
      </c>
      <c r="W24" s="5" t="s">
        <v>178</v>
      </c>
      <c r="Y24"/>
      <c r="Z24"/>
      <c r="AA24"/>
      <c r="AB24"/>
      <c r="AC24"/>
      <c r="AE24"/>
      <c r="AF24"/>
      <c r="AG24"/>
      <c r="AH24"/>
      <c r="AI24"/>
    </row>
    <row r="25" spans="1:45" ht="39.6" x14ac:dyDescent="0.3">
      <c r="A25" s="17" t="s">
        <v>34</v>
      </c>
      <c r="B25" s="5" t="s">
        <v>35</v>
      </c>
      <c r="C25" s="4" t="s">
        <v>16</v>
      </c>
      <c r="D25" s="5" t="s">
        <v>17</v>
      </c>
      <c r="E25" s="4" t="s">
        <v>18</v>
      </c>
      <c r="F25" s="5" t="s">
        <v>17</v>
      </c>
      <c r="G25" s="4" t="s">
        <v>74</v>
      </c>
      <c r="H25" s="5" t="s">
        <v>75</v>
      </c>
      <c r="I25" s="4" t="s">
        <v>131</v>
      </c>
      <c r="J25" s="5" t="s">
        <v>132</v>
      </c>
      <c r="K25" s="4" t="s">
        <v>179</v>
      </c>
      <c r="L25" s="5" t="s">
        <v>180</v>
      </c>
      <c r="M25" s="5" t="s">
        <v>180</v>
      </c>
      <c r="N25" s="5" t="s">
        <v>418</v>
      </c>
      <c r="O25" s="18">
        <v>200.12988294199999</v>
      </c>
      <c r="P25" s="13" t="str">
        <f t="shared" si="0"/>
        <v>Ver imagen</v>
      </c>
      <c r="R25"/>
      <c r="S25"/>
      <c r="T25"/>
      <c r="V25" s="4" t="s">
        <v>139</v>
      </c>
      <c r="W25" s="5" t="s">
        <v>28</v>
      </c>
      <c r="Y25"/>
      <c r="Z25"/>
      <c r="AA25"/>
      <c r="AB25"/>
      <c r="AC25"/>
      <c r="AD25"/>
      <c r="AE25"/>
      <c r="AF25"/>
      <c r="AG25"/>
      <c r="AH25"/>
      <c r="AI25"/>
    </row>
    <row r="26" spans="1:45" ht="39.6" x14ac:dyDescent="0.3">
      <c r="A26" s="17" t="s">
        <v>25</v>
      </c>
      <c r="B26" s="5" t="s">
        <v>26</v>
      </c>
      <c r="C26" s="4" t="s">
        <v>30</v>
      </c>
      <c r="D26" s="5" t="s">
        <v>32</v>
      </c>
      <c r="E26" s="4" t="s">
        <v>18</v>
      </c>
      <c r="F26" s="5" t="s">
        <v>17</v>
      </c>
      <c r="G26" s="4" t="s">
        <v>29</v>
      </c>
      <c r="H26" s="5" t="s">
        <v>17</v>
      </c>
      <c r="I26" s="4" t="s">
        <v>63</v>
      </c>
      <c r="J26" s="5" t="s">
        <v>64</v>
      </c>
      <c r="K26" s="4" t="s">
        <v>181</v>
      </c>
      <c r="L26" s="5" t="s">
        <v>182</v>
      </c>
      <c r="M26" s="5" t="s">
        <v>182</v>
      </c>
      <c r="N26" s="5" t="s">
        <v>419</v>
      </c>
      <c r="O26" s="18">
        <v>132.79655107100001</v>
      </c>
      <c r="P26" s="13" t="str">
        <f t="shared" si="0"/>
        <v>Ver imagen</v>
      </c>
      <c r="R26"/>
      <c r="S26"/>
      <c r="T26"/>
      <c r="V26" s="4" t="s">
        <v>146</v>
      </c>
      <c r="W26" s="5" t="s">
        <v>93</v>
      </c>
      <c r="Y26"/>
      <c r="Z26"/>
      <c r="AA26"/>
      <c r="AB26"/>
      <c r="AC26"/>
      <c r="AD26"/>
      <c r="AE26"/>
      <c r="AF26"/>
      <c r="AG26"/>
      <c r="AH26"/>
      <c r="AI26"/>
    </row>
    <row r="27" spans="1:45" ht="39.6" x14ac:dyDescent="0.3">
      <c r="A27" s="17" t="s">
        <v>92</v>
      </c>
      <c r="B27" s="5" t="s">
        <v>93</v>
      </c>
      <c r="C27" s="4" t="s">
        <v>16</v>
      </c>
      <c r="D27" s="5" t="s">
        <v>17</v>
      </c>
      <c r="E27" s="4" t="s">
        <v>18</v>
      </c>
      <c r="F27" s="5" t="s">
        <v>17</v>
      </c>
      <c r="G27" s="4" t="s">
        <v>114</v>
      </c>
      <c r="H27" s="5" t="s">
        <v>115</v>
      </c>
      <c r="I27" s="4" t="s">
        <v>116</v>
      </c>
      <c r="J27" s="5" t="s">
        <v>117</v>
      </c>
      <c r="K27" s="4" t="s">
        <v>183</v>
      </c>
      <c r="L27" s="5" t="s">
        <v>184</v>
      </c>
      <c r="M27" s="5" t="s">
        <v>184</v>
      </c>
      <c r="N27" s="5" t="s">
        <v>420</v>
      </c>
      <c r="O27" s="18">
        <v>232.19176720499999</v>
      </c>
      <c r="P27" s="13" t="str">
        <f t="shared" si="0"/>
        <v>Ver imagen</v>
      </c>
      <c r="R27"/>
      <c r="S27"/>
      <c r="T27"/>
      <c r="V27" s="4" t="s">
        <v>185</v>
      </c>
      <c r="W27" s="5" t="s">
        <v>186</v>
      </c>
      <c r="Y27"/>
      <c r="Z27"/>
      <c r="AA27"/>
      <c r="AB27"/>
      <c r="AC27"/>
      <c r="AD27"/>
      <c r="AE27"/>
      <c r="AF27"/>
      <c r="AH27"/>
      <c r="AI27"/>
    </row>
    <row r="28" spans="1:45" ht="39.6" x14ac:dyDescent="0.3">
      <c r="A28" s="17" t="s">
        <v>34</v>
      </c>
      <c r="B28" s="5" t="s">
        <v>35</v>
      </c>
      <c r="C28" s="4" t="s">
        <v>16</v>
      </c>
      <c r="D28" s="5" t="s">
        <v>17</v>
      </c>
      <c r="E28" s="4" t="s">
        <v>36</v>
      </c>
      <c r="F28" s="5" t="s">
        <v>37</v>
      </c>
      <c r="G28" s="4" t="s">
        <v>38</v>
      </c>
      <c r="H28" s="5" t="s">
        <v>39</v>
      </c>
      <c r="I28" s="4" t="s">
        <v>40</v>
      </c>
      <c r="J28" s="5" t="s">
        <v>41</v>
      </c>
      <c r="K28" s="4" t="s">
        <v>187</v>
      </c>
      <c r="L28" s="5" t="s">
        <v>188</v>
      </c>
      <c r="M28" s="5" t="s">
        <v>188</v>
      </c>
      <c r="N28" s="5" t="s">
        <v>421</v>
      </c>
      <c r="O28" s="18">
        <v>364.83235938899998</v>
      </c>
      <c r="P28" s="13" t="str">
        <f t="shared" si="0"/>
        <v>Ver imagen</v>
      </c>
      <c r="R28"/>
      <c r="S28"/>
      <c r="T28"/>
      <c r="V28"/>
      <c r="W28"/>
      <c r="Y28"/>
      <c r="Z28"/>
      <c r="AA28"/>
      <c r="AB28"/>
      <c r="AC28"/>
      <c r="AD28"/>
      <c r="AE28"/>
      <c r="AF28"/>
      <c r="AH28"/>
      <c r="AI28"/>
    </row>
    <row r="29" spans="1:45" ht="39.6" x14ac:dyDescent="0.3">
      <c r="A29" s="17" t="s">
        <v>61</v>
      </c>
      <c r="B29" s="5" t="s">
        <v>62</v>
      </c>
      <c r="C29" s="4" t="s">
        <v>16</v>
      </c>
      <c r="D29" s="5" t="s">
        <v>17</v>
      </c>
      <c r="E29" s="4" t="s">
        <v>18</v>
      </c>
      <c r="F29" s="5" t="s">
        <v>17</v>
      </c>
      <c r="G29" s="4" t="s">
        <v>29</v>
      </c>
      <c r="H29" s="5" t="s">
        <v>17</v>
      </c>
      <c r="I29" s="4" t="s">
        <v>94</v>
      </c>
      <c r="J29" s="5" t="s">
        <v>95</v>
      </c>
      <c r="K29" s="4" t="s">
        <v>189</v>
      </c>
      <c r="L29" s="5" t="s">
        <v>190</v>
      </c>
      <c r="M29" s="5" t="s">
        <v>190</v>
      </c>
      <c r="N29" s="5" t="s">
        <v>422</v>
      </c>
      <c r="O29" s="18">
        <v>262.79877563000002</v>
      </c>
      <c r="P29" s="13" t="str">
        <f t="shared" si="0"/>
        <v>Ver imagen</v>
      </c>
      <c r="R29"/>
      <c r="S29"/>
      <c r="T29"/>
      <c r="V29"/>
      <c r="W29"/>
      <c r="Y29"/>
      <c r="Z29"/>
      <c r="AA29"/>
      <c r="AB29"/>
      <c r="AC29"/>
      <c r="AD29"/>
      <c r="AE29"/>
      <c r="AF29"/>
      <c r="AH29"/>
      <c r="AI29"/>
    </row>
    <row r="30" spans="1:45" ht="39.6" x14ac:dyDescent="0.3">
      <c r="A30" s="17" t="s">
        <v>72</v>
      </c>
      <c r="B30" s="5" t="s">
        <v>73</v>
      </c>
      <c r="C30" s="4" t="s">
        <v>16</v>
      </c>
      <c r="D30" s="5" t="s">
        <v>17</v>
      </c>
      <c r="E30" s="4" t="s">
        <v>18</v>
      </c>
      <c r="F30" s="5" t="s">
        <v>17</v>
      </c>
      <c r="G30" s="4" t="s">
        <v>51</v>
      </c>
      <c r="H30" s="5" t="s">
        <v>52</v>
      </c>
      <c r="I30" s="4" t="s">
        <v>177</v>
      </c>
      <c r="J30" s="5" t="s">
        <v>178</v>
      </c>
      <c r="K30" s="4" t="s">
        <v>191</v>
      </c>
      <c r="L30" s="5" t="s">
        <v>192</v>
      </c>
      <c r="M30" s="5" t="s">
        <v>192</v>
      </c>
      <c r="N30" s="5" t="s">
        <v>423</v>
      </c>
      <c r="O30" s="18">
        <v>92.083683080699998</v>
      </c>
      <c r="P30" s="13" t="str">
        <f t="shared" si="0"/>
        <v>Ver imagen</v>
      </c>
      <c r="R30"/>
      <c r="S30"/>
      <c r="T30"/>
      <c r="V30"/>
      <c r="W30"/>
      <c r="Y30"/>
      <c r="Z30"/>
      <c r="AA30"/>
      <c r="AB30"/>
      <c r="AC30"/>
      <c r="AD30"/>
      <c r="AE30"/>
      <c r="AF30"/>
      <c r="AH30"/>
      <c r="AI30"/>
    </row>
    <row r="31" spans="1:45" ht="39.6" x14ac:dyDescent="0.3">
      <c r="A31" s="17" t="s">
        <v>127</v>
      </c>
      <c r="B31" s="5" t="s">
        <v>128</v>
      </c>
      <c r="C31" s="4" t="s">
        <v>16</v>
      </c>
      <c r="D31" s="5" t="s">
        <v>17</v>
      </c>
      <c r="E31" s="4" t="s">
        <v>96</v>
      </c>
      <c r="F31" s="5" t="s">
        <v>97</v>
      </c>
      <c r="G31" s="4" t="s">
        <v>29</v>
      </c>
      <c r="H31" s="5" t="s">
        <v>17</v>
      </c>
      <c r="I31" s="4" t="s">
        <v>139</v>
      </c>
      <c r="J31" s="5" t="s">
        <v>28</v>
      </c>
      <c r="K31" s="4" t="s">
        <v>193</v>
      </c>
      <c r="L31" s="5" t="s">
        <v>194</v>
      </c>
      <c r="M31" s="5" t="s">
        <v>194</v>
      </c>
      <c r="N31" s="5" t="s">
        <v>424</v>
      </c>
      <c r="O31" s="18">
        <v>387.28673071499998</v>
      </c>
      <c r="P31" s="13" t="str">
        <f t="shared" si="0"/>
        <v>Ver imagen</v>
      </c>
      <c r="R31"/>
      <c r="S31"/>
      <c r="T31"/>
      <c r="V31"/>
      <c r="W31"/>
      <c r="Y31"/>
      <c r="Z31"/>
      <c r="AA31"/>
      <c r="AB31"/>
      <c r="AC31"/>
      <c r="AD31"/>
      <c r="AE31"/>
      <c r="AF31"/>
      <c r="AH31"/>
      <c r="AI31"/>
      <c r="AR31"/>
      <c r="AS31"/>
    </row>
    <row r="32" spans="1:45" ht="39.6" x14ac:dyDescent="0.3">
      <c r="A32" s="17" t="s">
        <v>92</v>
      </c>
      <c r="B32" s="5" t="s">
        <v>93</v>
      </c>
      <c r="C32" s="4" t="s">
        <v>16</v>
      </c>
      <c r="D32" s="5" t="s">
        <v>17</v>
      </c>
      <c r="E32" s="4" t="s">
        <v>18</v>
      </c>
      <c r="F32" s="5" t="s">
        <v>17</v>
      </c>
      <c r="G32" s="4" t="s">
        <v>114</v>
      </c>
      <c r="H32" s="5" t="s">
        <v>115</v>
      </c>
      <c r="I32" s="4" t="s">
        <v>123</v>
      </c>
      <c r="J32" s="5" t="s">
        <v>124</v>
      </c>
      <c r="K32" s="4" t="s">
        <v>195</v>
      </c>
      <c r="L32" s="5" t="s">
        <v>196</v>
      </c>
      <c r="M32" s="5" t="s">
        <v>196</v>
      </c>
      <c r="N32" s="5" t="s">
        <v>425</v>
      </c>
      <c r="O32" s="18">
        <v>149.580818158</v>
      </c>
      <c r="P32" s="13" t="str">
        <f t="shared" si="0"/>
        <v>Ver imagen</v>
      </c>
      <c r="R32"/>
      <c r="S32"/>
      <c r="T32"/>
      <c r="V32"/>
      <c r="W32"/>
      <c r="Y32"/>
      <c r="Z32"/>
      <c r="AA32"/>
      <c r="AB32"/>
      <c r="AC32"/>
      <c r="AD32"/>
      <c r="AE32"/>
      <c r="AF32"/>
      <c r="AH32"/>
      <c r="AI32"/>
      <c r="AR32"/>
      <c r="AS32"/>
    </row>
    <row r="33" spans="1:45" ht="39.6" x14ac:dyDescent="0.3">
      <c r="A33" s="17" t="s">
        <v>44</v>
      </c>
      <c r="B33" s="5" t="s">
        <v>45</v>
      </c>
      <c r="C33" s="4" t="s">
        <v>16</v>
      </c>
      <c r="D33" s="5" t="s">
        <v>17</v>
      </c>
      <c r="E33" s="4" t="s">
        <v>48</v>
      </c>
      <c r="F33" s="5" t="s">
        <v>49</v>
      </c>
      <c r="G33" s="4" t="s">
        <v>29</v>
      </c>
      <c r="H33" s="5" t="s">
        <v>17</v>
      </c>
      <c r="I33" s="4" t="s">
        <v>82</v>
      </c>
      <c r="J33" s="5" t="s">
        <v>45</v>
      </c>
      <c r="K33" s="4" t="s">
        <v>197</v>
      </c>
      <c r="L33" s="5" t="s">
        <v>198</v>
      </c>
      <c r="M33" s="5" t="s">
        <v>198</v>
      </c>
      <c r="N33" s="5" t="s">
        <v>426</v>
      </c>
      <c r="O33" s="18">
        <v>1429.0822791099999</v>
      </c>
      <c r="P33" s="13" t="str">
        <f t="shared" si="0"/>
        <v>Ver imagen</v>
      </c>
      <c r="R33"/>
      <c r="S33"/>
      <c r="T33"/>
      <c r="V33"/>
      <c r="W33"/>
      <c r="Y33"/>
      <c r="Z33"/>
      <c r="AA33"/>
      <c r="AB33"/>
      <c r="AC33"/>
      <c r="AE33"/>
      <c r="AF33"/>
      <c r="AH33"/>
      <c r="AI33"/>
      <c r="AR33"/>
      <c r="AS33"/>
    </row>
    <row r="34" spans="1:45" ht="39.6" x14ac:dyDescent="0.3">
      <c r="A34" s="17" t="s">
        <v>127</v>
      </c>
      <c r="B34" s="5" t="s">
        <v>128</v>
      </c>
      <c r="C34" s="4" t="s">
        <v>16</v>
      </c>
      <c r="D34" s="5" t="s">
        <v>17</v>
      </c>
      <c r="E34" s="4" t="s">
        <v>96</v>
      </c>
      <c r="F34" s="5" t="s">
        <v>97</v>
      </c>
      <c r="G34" s="4" t="s">
        <v>29</v>
      </c>
      <c r="H34" s="5" t="s">
        <v>17</v>
      </c>
      <c r="I34" s="4" t="s">
        <v>139</v>
      </c>
      <c r="J34" s="5" t="s">
        <v>28</v>
      </c>
      <c r="K34" s="4" t="s">
        <v>199</v>
      </c>
      <c r="L34" s="5" t="s">
        <v>200</v>
      </c>
      <c r="M34" s="5" t="s">
        <v>200</v>
      </c>
      <c r="N34" s="5" t="s">
        <v>427</v>
      </c>
      <c r="O34" s="18">
        <v>721.68264531600005</v>
      </c>
      <c r="P34" s="13" t="str">
        <f t="shared" si="0"/>
        <v>Ver imagen</v>
      </c>
      <c r="R34"/>
      <c r="S34"/>
      <c r="T34"/>
      <c r="V34"/>
      <c r="W34"/>
      <c r="Y34"/>
      <c r="Z34"/>
      <c r="AA34"/>
      <c r="AB34"/>
      <c r="AC34"/>
      <c r="AE34"/>
      <c r="AF34"/>
      <c r="AH34"/>
      <c r="AI34"/>
      <c r="AR34"/>
      <c r="AS34"/>
    </row>
    <row r="35" spans="1:45" ht="39.6" x14ac:dyDescent="0.3">
      <c r="A35" s="17" t="s">
        <v>80</v>
      </c>
      <c r="B35" s="5" t="s">
        <v>81</v>
      </c>
      <c r="C35" s="4" t="s">
        <v>16</v>
      </c>
      <c r="D35" s="5" t="s">
        <v>17</v>
      </c>
      <c r="E35" s="4" t="s">
        <v>18</v>
      </c>
      <c r="F35" s="5" t="s">
        <v>17</v>
      </c>
      <c r="G35" s="4" t="s">
        <v>29</v>
      </c>
      <c r="H35" s="5" t="s">
        <v>17</v>
      </c>
      <c r="I35" s="4" t="s">
        <v>94</v>
      </c>
      <c r="J35" s="5" t="s">
        <v>95</v>
      </c>
      <c r="K35" s="4" t="s">
        <v>201</v>
      </c>
      <c r="L35" s="5" t="s">
        <v>202</v>
      </c>
      <c r="M35" s="5" t="s">
        <v>202</v>
      </c>
      <c r="N35" s="5" t="s">
        <v>428</v>
      </c>
      <c r="O35" s="18">
        <v>46.884779501499999</v>
      </c>
      <c r="P35" s="13" t="str">
        <f t="shared" si="0"/>
        <v>Ver imagen</v>
      </c>
      <c r="R35"/>
      <c r="S35"/>
      <c r="T35"/>
      <c r="V35"/>
      <c r="W35"/>
      <c r="Y35"/>
      <c r="Z35"/>
      <c r="AA35"/>
      <c r="AB35"/>
      <c r="AC35"/>
      <c r="AE35"/>
      <c r="AF35"/>
      <c r="AH35"/>
      <c r="AI35"/>
      <c r="AR35"/>
      <c r="AS35"/>
    </row>
    <row r="36" spans="1:45" ht="39.6" x14ac:dyDescent="0.3">
      <c r="A36" s="17" t="s">
        <v>72</v>
      </c>
      <c r="B36" s="5" t="s">
        <v>73</v>
      </c>
      <c r="C36" s="4" t="s">
        <v>16</v>
      </c>
      <c r="D36" s="5" t="s">
        <v>17</v>
      </c>
      <c r="E36" s="4" t="s">
        <v>18</v>
      </c>
      <c r="F36" s="5" t="s">
        <v>17</v>
      </c>
      <c r="G36" s="4" t="s">
        <v>99</v>
      </c>
      <c r="H36" s="5" t="s">
        <v>100</v>
      </c>
      <c r="I36" s="4" t="s">
        <v>103</v>
      </c>
      <c r="J36" s="5" t="s">
        <v>104</v>
      </c>
      <c r="K36" s="4" t="s">
        <v>203</v>
      </c>
      <c r="L36" s="5" t="s">
        <v>204</v>
      </c>
      <c r="M36" s="5" t="s">
        <v>204</v>
      </c>
      <c r="N36" s="5" t="s">
        <v>429</v>
      </c>
      <c r="O36" s="18">
        <v>263.78664765799999</v>
      </c>
      <c r="P36" s="13" t="str">
        <f t="shared" si="0"/>
        <v>Ver imagen</v>
      </c>
      <c r="R36"/>
      <c r="S36"/>
      <c r="T36"/>
      <c r="V36"/>
      <c r="W36"/>
      <c r="Y36"/>
      <c r="Z36"/>
      <c r="AA36"/>
      <c r="AB36"/>
      <c r="AC36"/>
      <c r="AE36"/>
      <c r="AF36"/>
      <c r="AH36"/>
      <c r="AI36"/>
      <c r="AR36"/>
      <c r="AS36"/>
    </row>
    <row r="37" spans="1:45" ht="39.6" x14ac:dyDescent="0.3">
      <c r="A37" s="17" t="s">
        <v>14</v>
      </c>
      <c r="B37" s="5" t="s">
        <v>15</v>
      </c>
      <c r="C37" s="4" t="s">
        <v>16</v>
      </c>
      <c r="D37" s="5" t="s">
        <v>17</v>
      </c>
      <c r="E37" s="4" t="s">
        <v>18</v>
      </c>
      <c r="F37" s="5" t="s">
        <v>17</v>
      </c>
      <c r="G37" s="4" t="s">
        <v>55</v>
      </c>
      <c r="H37" s="5" t="s">
        <v>56</v>
      </c>
      <c r="I37" s="4" t="s">
        <v>161</v>
      </c>
      <c r="J37" s="5" t="s">
        <v>162</v>
      </c>
      <c r="K37" s="4" t="s">
        <v>205</v>
      </c>
      <c r="L37" s="5" t="s">
        <v>206</v>
      </c>
      <c r="M37" s="5" t="s">
        <v>206</v>
      </c>
      <c r="N37" s="5" t="s">
        <v>430</v>
      </c>
      <c r="O37" s="18">
        <v>257.94876923300001</v>
      </c>
      <c r="P37" s="13" t="str">
        <f t="shared" si="0"/>
        <v>Ver imagen</v>
      </c>
      <c r="R37"/>
      <c r="S37"/>
      <c r="T37"/>
      <c r="V37"/>
      <c r="W37"/>
      <c r="Y37"/>
      <c r="Z37"/>
      <c r="AA37"/>
      <c r="AB37"/>
      <c r="AC37"/>
      <c r="AE37"/>
      <c r="AF37"/>
      <c r="AG37"/>
      <c r="AH37"/>
      <c r="AI37"/>
      <c r="AR37"/>
      <c r="AS37"/>
    </row>
    <row r="38" spans="1:45" ht="39.6" x14ac:dyDescent="0.3">
      <c r="A38" s="17" t="s">
        <v>14</v>
      </c>
      <c r="B38" s="5" t="s">
        <v>15</v>
      </c>
      <c r="C38" s="4" t="s">
        <v>16</v>
      </c>
      <c r="D38" s="5" t="s">
        <v>17</v>
      </c>
      <c r="E38" s="4" t="s">
        <v>18</v>
      </c>
      <c r="F38" s="5" t="s">
        <v>17</v>
      </c>
      <c r="G38" s="4" t="s">
        <v>55</v>
      </c>
      <c r="H38" s="5" t="s">
        <v>56</v>
      </c>
      <c r="I38" s="4" t="s">
        <v>57</v>
      </c>
      <c r="J38" s="5" t="s">
        <v>58</v>
      </c>
      <c r="K38" s="4" t="s">
        <v>207</v>
      </c>
      <c r="L38" s="5" t="s">
        <v>208</v>
      </c>
      <c r="M38" s="5" t="s">
        <v>208</v>
      </c>
      <c r="N38" s="5" t="s">
        <v>431</v>
      </c>
      <c r="O38" s="18">
        <v>202.05448562199999</v>
      </c>
      <c r="P38" s="13" t="str">
        <f t="shared" si="0"/>
        <v>Ver imagen</v>
      </c>
      <c r="R38"/>
      <c r="S38"/>
      <c r="T38"/>
      <c r="V38"/>
      <c r="W38"/>
      <c r="Y38"/>
      <c r="Z38"/>
      <c r="AA38"/>
      <c r="AB38"/>
      <c r="AC38"/>
      <c r="AE38"/>
      <c r="AF38"/>
      <c r="AG38"/>
      <c r="AH38"/>
      <c r="AI38"/>
      <c r="AR38"/>
      <c r="AS38"/>
    </row>
    <row r="39" spans="1:45" ht="39.6" x14ac:dyDescent="0.3">
      <c r="A39" s="17" t="s">
        <v>72</v>
      </c>
      <c r="B39" s="5" t="s">
        <v>73</v>
      </c>
      <c r="C39" s="4" t="s">
        <v>16</v>
      </c>
      <c r="D39" s="5" t="s">
        <v>17</v>
      </c>
      <c r="E39" s="4" t="s">
        <v>18</v>
      </c>
      <c r="F39" s="5" t="s">
        <v>17</v>
      </c>
      <c r="G39" s="4" t="s">
        <v>74</v>
      </c>
      <c r="H39" s="5" t="s">
        <v>75</v>
      </c>
      <c r="I39" s="4" t="s">
        <v>167</v>
      </c>
      <c r="J39" s="5" t="s">
        <v>168</v>
      </c>
      <c r="K39" s="4" t="s">
        <v>209</v>
      </c>
      <c r="L39" s="5" t="s">
        <v>210</v>
      </c>
      <c r="M39" s="5" t="s">
        <v>210</v>
      </c>
      <c r="N39" s="5" t="s">
        <v>432</v>
      </c>
      <c r="O39" s="18">
        <v>247.880390514</v>
      </c>
      <c r="P39" s="13" t="str">
        <f t="shared" si="0"/>
        <v>Ver imagen</v>
      </c>
      <c r="R39"/>
      <c r="S39"/>
      <c r="T39"/>
      <c r="V39"/>
      <c r="W39"/>
      <c r="Y39"/>
      <c r="AA39"/>
      <c r="AB39"/>
      <c r="AC39"/>
      <c r="AE39"/>
      <c r="AF39"/>
      <c r="AG39"/>
      <c r="AH39"/>
      <c r="AI39"/>
      <c r="AR39"/>
      <c r="AS39"/>
    </row>
    <row r="40" spans="1:45" ht="39.6" x14ac:dyDescent="0.3">
      <c r="A40" s="17" t="s">
        <v>25</v>
      </c>
      <c r="B40" s="5" t="s">
        <v>26</v>
      </c>
      <c r="C40" s="4" t="s">
        <v>30</v>
      </c>
      <c r="D40" s="5" t="s">
        <v>32</v>
      </c>
      <c r="E40" s="4" t="s">
        <v>18</v>
      </c>
      <c r="F40" s="5" t="s">
        <v>17</v>
      </c>
      <c r="G40" s="4" t="s">
        <v>29</v>
      </c>
      <c r="H40" s="5" t="s">
        <v>17</v>
      </c>
      <c r="I40" s="4" t="s">
        <v>46</v>
      </c>
      <c r="J40" s="5" t="s">
        <v>47</v>
      </c>
      <c r="K40" s="4" t="s">
        <v>211</v>
      </c>
      <c r="L40" s="5" t="s">
        <v>212</v>
      </c>
      <c r="M40" s="5" t="s">
        <v>212</v>
      </c>
      <c r="N40" s="5" t="s">
        <v>433</v>
      </c>
      <c r="O40" s="18">
        <v>67.856804510700002</v>
      </c>
      <c r="P40" s="13" t="str">
        <f t="shared" si="0"/>
        <v>Ver imagen</v>
      </c>
      <c r="R40"/>
      <c r="S40"/>
      <c r="T40"/>
      <c r="V40"/>
      <c r="W40"/>
      <c r="Y40"/>
      <c r="AA40"/>
      <c r="AB40"/>
      <c r="AC40"/>
      <c r="AE40"/>
      <c r="AF40"/>
      <c r="AG40"/>
      <c r="AH40"/>
      <c r="AI40"/>
      <c r="AR40"/>
      <c r="AS40"/>
    </row>
    <row r="41" spans="1:45" ht="39.6" x14ac:dyDescent="0.3">
      <c r="A41" s="17" t="s">
        <v>34</v>
      </c>
      <c r="B41" s="5" t="s">
        <v>35</v>
      </c>
      <c r="C41" s="4" t="s">
        <v>16</v>
      </c>
      <c r="D41" s="5" t="s">
        <v>17</v>
      </c>
      <c r="E41" s="4" t="s">
        <v>36</v>
      </c>
      <c r="F41" s="5" t="s">
        <v>37</v>
      </c>
      <c r="G41" s="4" t="s">
        <v>38</v>
      </c>
      <c r="H41" s="5" t="s">
        <v>39</v>
      </c>
      <c r="I41" s="4" t="s">
        <v>40</v>
      </c>
      <c r="J41" s="5" t="s">
        <v>41</v>
      </c>
      <c r="K41" s="4" t="s">
        <v>213</v>
      </c>
      <c r="L41" s="5" t="s">
        <v>214</v>
      </c>
      <c r="M41" s="5" t="s">
        <v>214</v>
      </c>
      <c r="N41" s="5" t="s">
        <v>434</v>
      </c>
      <c r="O41" s="18">
        <v>1957.2627078600001</v>
      </c>
      <c r="P41" s="13" t="str">
        <f t="shared" si="0"/>
        <v>Ver imagen</v>
      </c>
      <c r="R41"/>
      <c r="S41"/>
      <c r="T41"/>
      <c r="V41"/>
      <c r="W41"/>
      <c r="Y41"/>
      <c r="AA41"/>
      <c r="AB41"/>
      <c r="AC41"/>
      <c r="AE41"/>
      <c r="AF41"/>
      <c r="AG41"/>
      <c r="AH41"/>
      <c r="AI41"/>
      <c r="AR41"/>
      <c r="AS41"/>
    </row>
    <row r="42" spans="1:45" ht="39.6" x14ac:dyDescent="0.3">
      <c r="A42" s="17" t="s">
        <v>25</v>
      </c>
      <c r="B42" s="5" t="s">
        <v>26</v>
      </c>
      <c r="C42" s="4" t="s">
        <v>30</v>
      </c>
      <c r="D42" s="5" t="s">
        <v>32</v>
      </c>
      <c r="E42" s="4" t="s">
        <v>18</v>
      </c>
      <c r="F42" s="5" t="s">
        <v>17</v>
      </c>
      <c r="G42" s="4" t="s">
        <v>29</v>
      </c>
      <c r="H42" s="5" t="s">
        <v>17</v>
      </c>
      <c r="I42" s="4" t="s">
        <v>27</v>
      </c>
      <c r="J42" s="5" t="s">
        <v>28</v>
      </c>
      <c r="K42" s="4" t="s">
        <v>215</v>
      </c>
      <c r="L42" s="5" t="s">
        <v>216</v>
      </c>
      <c r="M42" s="5" t="s">
        <v>217</v>
      </c>
      <c r="N42" s="5" t="s">
        <v>435</v>
      </c>
      <c r="O42" s="18">
        <v>374.83400457099998</v>
      </c>
      <c r="P42" s="13" t="str">
        <f t="shared" si="0"/>
        <v>Ver imagen</v>
      </c>
      <c r="Q42" s="11"/>
      <c r="R42"/>
      <c r="S42"/>
      <c r="T42"/>
      <c r="V42"/>
      <c r="W42"/>
      <c r="Y42"/>
      <c r="AA42"/>
      <c r="AB42"/>
      <c r="AC42"/>
      <c r="AE42"/>
      <c r="AF42"/>
      <c r="AG42"/>
      <c r="AH42"/>
      <c r="AI42"/>
      <c r="AR42"/>
      <c r="AS42"/>
    </row>
    <row r="43" spans="1:45" ht="52.8" x14ac:dyDescent="0.3">
      <c r="A43" s="17" t="s">
        <v>127</v>
      </c>
      <c r="B43" s="5" t="s">
        <v>128</v>
      </c>
      <c r="C43" s="4" t="s">
        <v>16</v>
      </c>
      <c r="D43" s="5" t="s">
        <v>17</v>
      </c>
      <c r="E43" s="4" t="s">
        <v>96</v>
      </c>
      <c r="F43" s="5" t="s">
        <v>97</v>
      </c>
      <c r="G43" s="4" t="s">
        <v>29</v>
      </c>
      <c r="H43" s="5" t="s">
        <v>17</v>
      </c>
      <c r="I43" s="4" t="s">
        <v>139</v>
      </c>
      <c r="J43" s="5" t="s">
        <v>28</v>
      </c>
      <c r="K43" s="4" t="s">
        <v>218</v>
      </c>
      <c r="L43" s="5" t="s">
        <v>219</v>
      </c>
      <c r="M43" s="5" t="s">
        <v>220</v>
      </c>
      <c r="N43" s="5" t="s">
        <v>436</v>
      </c>
      <c r="O43" s="18">
        <v>2921.8744349499998</v>
      </c>
      <c r="P43" s="13" t="str">
        <f t="shared" si="0"/>
        <v>Ver imagen</v>
      </c>
      <c r="R43"/>
      <c r="S43"/>
      <c r="T43"/>
      <c r="V43"/>
      <c r="W43"/>
      <c r="Y43"/>
      <c r="Z43"/>
      <c r="AA43"/>
      <c r="AB43"/>
      <c r="AC43"/>
      <c r="AE43"/>
      <c r="AF43"/>
      <c r="AG43"/>
      <c r="AH43"/>
      <c r="AI43"/>
      <c r="AR43"/>
      <c r="AS43"/>
    </row>
    <row r="44" spans="1:45" ht="39.6" x14ac:dyDescent="0.3">
      <c r="A44" s="17" t="s">
        <v>92</v>
      </c>
      <c r="B44" s="5" t="s">
        <v>93</v>
      </c>
      <c r="C44" s="4" t="s">
        <v>16</v>
      </c>
      <c r="D44" s="5" t="s">
        <v>17</v>
      </c>
      <c r="E44" s="4" t="s">
        <v>18</v>
      </c>
      <c r="F44" s="5" t="s">
        <v>17</v>
      </c>
      <c r="G44" s="4" t="s">
        <v>135</v>
      </c>
      <c r="H44" s="5" t="s">
        <v>136</v>
      </c>
      <c r="I44" s="4" t="s">
        <v>142</v>
      </c>
      <c r="J44" s="5" t="s">
        <v>143</v>
      </c>
      <c r="K44" s="4" t="s">
        <v>221</v>
      </c>
      <c r="L44" s="5" t="s">
        <v>222</v>
      </c>
      <c r="M44" s="5" t="s">
        <v>222</v>
      </c>
      <c r="N44" s="5" t="s">
        <v>437</v>
      </c>
      <c r="O44" s="18">
        <v>203.32080361999999</v>
      </c>
      <c r="P44" s="13" t="str">
        <f t="shared" si="0"/>
        <v>Ver imagen</v>
      </c>
      <c r="R44"/>
      <c r="S44"/>
      <c r="T44"/>
      <c r="V44"/>
      <c r="W44"/>
      <c r="Y44"/>
      <c r="Z44"/>
      <c r="AA44"/>
      <c r="AB44"/>
      <c r="AC44"/>
      <c r="AE44"/>
      <c r="AF44"/>
      <c r="AG44"/>
      <c r="AH44"/>
      <c r="AI44"/>
      <c r="AR44"/>
      <c r="AS44"/>
    </row>
    <row r="45" spans="1:45" ht="39.6" x14ac:dyDescent="0.3">
      <c r="A45" s="17" t="s">
        <v>34</v>
      </c>
      <c r="B45" s="5" t="s">
        <v>35</v>
      </c>
      <c r="C45" s="4" t="s">
        <v>16</v>
      </c>
      <c r="D45" s="5" t="s">
        <v>17</v>
      </c>
      <c r="E45" s="4" t="s">
        <v>18</v>
      </c>
      <c r="F45" s="5" t="s">
        <v>17</v>
      </c>
      <c r="G45" s="4" t="s">
        <v>68</v>
      </c>
      <c r="H45" s="5" t="s">
        <v>69</v>
      </c>
      <c r="I45" s="4" t="s">
        <v>131</v>
      </c>
      <c r="J45" s="5" t="s">
        <v>132</v>
      </c>
      <c r="K45" s="4" t="s">
        <v>223</v>
      </c>
      <c r="L45" s="5" t="s">
        <v>224</v>
      </c>
      <c r="M45" s="5" t="s">
        <v>224</v>
      </c>
      <c r="N45" s="5" t="s">
        <v>438</v>
      </c>
      <c r="O45" s="18">
        <v>237.74345149300001</v>
      </c>
      <c r="P45" s="13" t="str">
        <f t="shared" si="0"/>
        <v>Ver imagen</v>
      </c>
      <c r="R45"/>
      <c r="S45"/>
      <c r="T45"/>
      <c r="V45"/>
      <c r="W45"/>
      <c r="Y45"/>
      <c r="Z45"/>
      <c r="AA45"/>
      <c r="AB45"/>
      <c r="AC45"/>
      <c r="AE45"/>
      <c r="AF45"/>
      <c r="AG45"/>
      <c r="AH45"/>
      <c r="AI45"/>
      <c r="AR45"/>
      <c r="AS45"/>
    </row>
    <row r="46" spans="1:45" ht="39.6" x14ac:dyDescent="0.3">
      <c r="A46" s="17" t="s">
        <v>44</v>
      </c>
      <c r="B46" s="5" t="s">
        <v>45</v>
      </c>
      <c r="C46" s="4" t="s">
        <v>16</v>
      </c>
      <c r="D46" s="5" t="s">
        <v>17</v>
      </c>
      <c r="E46" s="4" t="s">
        <v>48</v>
      </c>
      <c r="F46" s="5" t="s">
        <v>49</v>
      </c>
      <c r="G46" s="4" t="s">
        <v>29</v>
      </c>
      <c r="H46" s="5" t="s">
        <v>17</v>
      </c>
      <c r="I46" s="4" t="s">
        <v>82</v>
      </c>
      <c r="J46" s="5" t="s">
        <v>45</v>
      </c>
      <c r="K46" s="4" t="s">
        <v>225</v>
      </c>
      <c r="L46" s="5" t="s">
        <v>226</v>
      </c>
      <c r="M46" s="5" t="s">
        <v>226</v>
      </c>
      <c r="N46" s="5" t="s">
        <v>439</v>
      </c>
      <c r="O46" s="18">
        <v>1560.24755648</v>
      </c>
      <c r="P46" s="13" t="str">
        <f t="shared" si="0"/>
        <v>Ver imagen</v>
      </c>
      <c r="R46"/>
      <c r="S46"/>
      <c r="T46"/>
      <c r="V46"/>
      <c r="W46"/>
      <c r="Y46"/>
      <c r="Z46"/>
      <c r="AA46"/>
      <c r="AB46"/>
      <c r="AC46"/>
      <c r="AE46"/>
      <c r="AF46"/>
      <c r="AG46"/>
      <c r="AH46"/>
      <c r="AI46"/>
      <c r="AR46"/>
      <c r="AS46"/>
    </row>
    <row r="47" spans="1:45" ht="39.6" x14ac:dyDescent="0.3">
      <c r="A47" s="17" t="s">
        <v>14</v>
      </c>
      <c r="B47" s="5" t="s">
        <v>15</v>
      </c>
      <c r="C47" s="4" t="s">
        <v>16</v>
      </c>
      <c r="D47" s="5" t="s">
        <v>17</v>
      </c>
      <c r="E47" s="4" t="s">
        <v>18</v>
      </c>
      <c r="F47" s="5" t="s">
        <v>17</v>
      </c>
      <c r="G47" s="4" t="s">
        <v>29</v>
      </c>
      <c r="H47" s="5" t="s">
        <v>17</v>
      </c>
      <c r="I47" s="4" t="s">
        <v>165</v>
      </c>
      <c r="J47" s="5" t="s">
        <v>166</v>
      </c>
      <c r="K47" s="4" t="s">
        <v>227</v>
      </c>
      <c r="L47" s="5" t="s">
        <v>228</v>
      </c>
      <c r="M47" s="5" t="s">
        <v>228</v>
      </c>
      <c r="N47" s="5" t="s">
        <v>440</v>
      </c>
      <c r="O47" s="18">
        <v>409.32993490299998</v>
      </c>
      <c r="P47" s="13" t="str">
        <f t="shared" si="0"/>
        <v>Ver imagen</v>
      </c>
      <c r="R47"/>
      <c r="S47"/>
      <c r="T47"/>
      <c r="V47"/>
      <c r="W47"/>
      <c r="Y47"/>
      <c r="Z47"/>
      <c r="AA47"/>
      <c r="AB47"/>
      <c r="AC47"/>
      <c r="AE47"/>
      <c r="AF47"/>
      <c r="AG47"/>
      <c r="AH47"/>
      <c r="AI47"/>
      <c r="AR47"/>
      <c r="AS47"/>
    </row>
    <row r="48" spans="1:45" ht="39.6" x14ac:dyDescent="0.3">
      <c r="A48" s="17" t="s">
        <v>14</v>
      </c>
      <c r="B48" s="5" t="s">
        <v>15</v>
      </c>
      <c r="C48" s="4" t="s">
        <v>16</v>
      </c>
      <c r="D48" s="5" t="s">
        <v>17</v>
      </c>
      <c r="E48" s="4" t="s">
        <v>18</v>
      </c>
      <c r="F48" s="5" t="s">
        <v>17</v>
      </c>
      <c r="G48" s="4" t="s">
        <v>55</v>
      </c>
      <c r="H48" s="5" t="s">
        <v>56</v>
      </c>
      <c r="I48" s="4" t="s">
        <v>57</v>
      </c>
      <c r="J48" s="5" t="s">
        <v>58</v>
      </c>
      <c r="K48" s="4" t="s">
        <v>229</v>
      </c>
      <c r="L48" s="5" t="s">
        <v>230</v>
      </c>
      <c r="M48" s="5" t="s">
        <v>230</v>
      </c>
      <c r="N48" s="5" t="s">
        <v>441</v>
      </c>
      <c r="O48" s="18">
        <v>118.314349783</v>
      </c>
      <c r="P48" s="13" t="str">
        <f t="shared" si="0"/>
        <v>Ver imagen</v>
      </c>
      <c r="R48"/>
      <c r="S48"/>
      <c r="T48"/>
      <c r="V48"/>
      <c r="W48"/>
      <c r="Y48"/>
      <c r="Z48"/>
      <c r="AA48"/>
      <c r="AB48"/>
      <c r="AC48"/>
      <c r="AE48"/>
      <c r="AF48"/>
      <c r="AG48"/>
      <c r="AH48"/>
      <c r="AI48"/>
      <c r="AR48"/>
      <c r="AS48"/>
    </row>
    <row r="49" spans="1:45" ht="39.6" x14ac:dyDescent="0.3">
      <c r="A49" s="17" t="s">
        <v>14</v>
      </c>
      <c r="B49" s="5" t="s">
        <v>15</v>
      </c>
      <c r="C49" s="4" t="s">
        <v>16</v>
      </c>
      <c r="D49" s="5" t="s">
        <v>17</v>
      </c>
      <c r="E49" s="4" t="s">
        <v>18</v>
      </c>
      <c r="F49" s="5" t="s">
        <v>17</v>
      </c>
      <c r="G49" s="4" t="s">
        <v>29</v>
      </c>
      <c r="H49" s="5" t="s">
        <v>17</v>
      </c>
      <c r="I49" s="4" t="s">
        <v>165</v>
      </c>
      <c r="J49" s="5" t="s">
        <v>166</v>
      </c>
      <c r="K49" s="4" t="s">
        <v>231</v>
      </c>
      <c r="L49" s="5" t="s">
        <v>232</v>
      </c>
      <c r="M49" s="5" t="s">
        <v>232</v>
      </c>
      <c r="N49" s="5" t="s">
        <v>442</v>
      </c>
      <c r="O49" s="18">
        <v>242.01893869599999</v>
      </c>
      <c r="P49" s="13" t="str">
        <f t="shared" si="0"/>
        <v>Ver imagen</v>
      </c>
      <c r="R49"/>
      <c r="S49"/>
      <c r="T49"/>
      <c r="V49"/>
      <c r="W49"/>
      <c r="Y49"/>
      <c r="Z49"/>
      <c r="AA49"/>
      <c r="AB49"/>
      <c r="AC49"/>
      <c r="AE49"/>
      <c r="AF49"/>
      <c r="AG49"/>
      <c r="AH49"/>
      <c r="AI49"/>
      <c r="AR49"/>
      <c r="AS49"/>
    </row>
    <row r="50" spans="1:45" ht="39.6" x14ac:dyDescent="0.3">
      <c r="A50" s="17" t="s">
        <v>14</v>
      </c>
      <c r="B50" s="5" t="s">
        <v>15</v>
      </c>
      <c r="C50" s="4" t="s">
        <v>16</v>
      </c>
      <c r="D50" s="5" t="s">
        <v>17</v>
      </c>
      <c r="E50" s="4" t="s">
        <v>65</v>
      </c>
      <c r="F50" s="5" t="s">
        <v>66</v>
      </c>
      <c r="G50" s="4" t="s">
        <v>29</v>
      </c>
      <c r="H50" s="5" t="s">
        <v>17</v>
      </c>
      <c r="I50" s="4" t="s">
        <v>165</v>
      </c>
      <c r="J50" s="5" t="s">
        <v>166</v>
      </c>
      <c r="K50" s="4" t="s">
        <v>233</v>
      </c>
      <c r="L50" s="5" t="s">
        <v>234</v>
      </c>
      <c r="M50" s="5" t="s">
        <v>234</v>
      </c>
      <c r="N50" s="5" t="s">
        <v>443</v>
      </c>
      <c r="O50" s="18">
        <v>83.568458833500003</v>
      </c>
      <c r="P50" s="13" t="str">
        <f t="shared" si="0"/>
        <v>Ver imagen</v>
      </c>
      <c r="R50"/>
      <c r="S50"/>
      <c r="T50"/>
      <c r="V50"/>
      <c r="W50"/>
      <c r="Y50"/>
      <c r="Z50"/>
      <c r="AA50"/>
      <c r="AB50"/>
      <c r="AC50"/>
      <c r="AE50"/>
      <c r="AF50"/>
      <c r="AG50"/>
      <c r="AH50"/>
      <c r="AI50"/>
      <c r="AR50"/>
      <c r="AS50"/>
    </row>
    <row r="51" spans="1:45" ht="39.6" x14ac:dyDescent="0.3">
      <c r="A51" s="17" t="s">
        <v>92</v>
      </c>
      <c r="B51" s="5" t="s">
        <v>93</v>
      </c>
      <c r="C51" s="4" t="s">
        <v>16</v>
      </c>
      <c r="D51" s="5" t="s">
        <v>17</v>
      </c>
      <c r="E51" s="4" t="s">
        <v>18</v>
      </c>
      <c r="F51" s="5" t="s">
        <v>17</v>
      </c>
      <c r="G51" s="4" t="s">
        <v>135</v>
      </c>
      <c r="H51" s="5" t="s">
        <v>136</v>
      </c>
      <c r="I51" s="4" t="s">
        <v>142</v>
      </c>
      <c r="J51" s="5" t="s">
        <v>143</v>
      </c>
      <c r="K51" s="4" t="s">
        <v>235</v>
      </c>
      <c r="L51" s="5" t="s">
        <v>236</v>
      </c>
      <c r="M51" s="5" t="s">
        <v>236</v>
      </c>
      <c r="N51" s="5" t="s">
        <v>444</v>
      </c>
      <c r="O51" s="18">
        <v>214.19594584999999</v>
      </c>
      <c r="P51" s="13" t="str">
        <f t="shared" si="0"/>
        <v>Ver imagen</v>
      </c>
      <c r="R51"/>
      <c r="S51"/>
      <c r="T51"/>
      <c r="V51"/>
      <c r="W51"/>
      <c r="Y51"/>
      <c r="Z51"/>
      <c r="AA51"/>
      <c r="AB51"/>
      <c r="AC51"/>
      <c r="AE51"/>
      <c r="AF51"/>
      <c r="AG51"/>
      <c r="AH51"/>
      <c r="AI51"/>
      <c r="AR51"/>
      <c r="AS51"/>
    </row>
    <row r="52" spans="1:45" ht="39.6" x14ac:dyDescent="0.3">
      <c r="A52" s="17" t="s">
        <v>25</v>
      </c>
      <c r="B52" s="5" t="s">
        <v>26</v>
      </c>
      <c r="C52" s="4" t="s">
        <v>30</v>
      </c>
      <c r="D52" s="5" t="s">
        <v>32</v>
      </c>
      <c r="E52" s="4" t="s">
        <v>18</v>
      </c>
      <c r="F52" s="5" t="s">
        <v>17</v>
      </c>
      <c r="G52" s="4" t="s">
        <v>29</v>
      </c>
      <c r="H52" s="5" t="s">
        <v>17</v>
      </c>
      <c r="I52" s="4" t="s">
        <v>63</v>
      </c>
      <c r="J52" s="5" t="s">
        <v>64</v>
      </c>
      <c r="K52" s="4" t="s">
        <v>237</v>
      </c>
      <c r="L52" s="5" t="s">
        <v>238</v>
      </c>
      <c r="M52" s="5" t="s">
        <v>238</v>
      </c>
      <c r="N52" s="5" t="s">
        <v>445</v>
      </c>
      <c r="O52" s="18">
        <v>79.527585911599999</v>
      </c>
      <c r="P52" s="13" t="str">
        <f t="shared" si="0"/>
        <v>Ver imagen</v>
      </c>
      <c r="R52"/>
      <c r="S52"/>
      <c r="T52"/>
      <c r="V52"/>
      <c r="W52"/>
      <c r="Y52"/>
      <c r="Z52"/>
      <c r="AA52"/>
      <c r="AB52"/>
      <c r="AC52"/>
      <c r="AE52"/>
      <c r="AF52"/>
      <c r="AG52"/>
      <c r="AH52"/>
      <c r="AI52"/>
      <c r="AR52"/>
      <c r="AS52"/>
    </row>
    <row r="53" spans="1:45" ht="39.6" x14ac:dyDescent="0.3">
      <c r="A53" s="17" t="s">
        <v>72</v>
      </c>
      <c r="B53" s="5" t="s">
        <v>73</v>
      </c>
      <c r="C53" s="4" t="s">
        <v>16</v>
      </c>
      <c r="D53" s="5" t="s">
        <v>17</v>
      </c>
      <c r="E53" s="4" t="s">
        <v>18</v>
      </c>
      <c r="F53" s="5" t="s">
        <v>17</v>
      </c>
      <c r="G53" s="4" t="s">
        <v>51</v>
      </c>
      <c r="H53" s="5" t="s">
        <v>52</v>
      </c>
      <c r="I53" s="4" t="s">
        <v>76</v>
      </c>
      <c r="J53" s="5" t="s">
        <v>77</v>
      </c>
      <c r="K53" s="4" t="s">
        <v>239</v>
      </c>
      <c r="L53" s="5" t="s">
        <v>240</v>
      </c>
      <c r="M53" s="5" t="s">
        <v>240</v>
      </c>
      <c r="N53" s="5" t="s">
        <v>446</v>
      </c>
      <c r="O53" s="18">
        <v>253.76053847899999</v>
      </c>
      <c r="P53" s="13" t="str">
        <f t="shared" si="0"/>
        <v>Ver imagen</v>
      </c>
      <c r="R53"/>
      <c r="S53"/>
      <c r="T53"/>
      <c r="V53"/>
      <c r="W53"/>
      <c r="Y53"/>
      <c r="Z53"/>
      <c r="AA53"/>
      <c r="AB53"/>
      <c r="AC53"/>
      <c r="AE53"/>
      <c r="AF53"/>
      <c r="AG53"/>
      <c r="AH53"/>
      <c r="AI53"/>
      <c r="AR53"/>
      <c r="AS53"/>
    </row>
    <row r="54" spans="1:45" ht="39.6" x14ac:dyDescent="0.3">
      <c r="A54" s="17" t="s">
        <v>34</v>
      </c>
      <c r="B54" s="5" t="s">
        <v>35</v>
      </c>
      <c r="C54" s="4" t="s">
        <v>16</v>
      </c>
      <c r="D54" s="5" t="s">
        <v>17</v>
      </c>
      <c r="E54" s="4" t="s">
        <v>36</v>
      </c>
      <c r="F54" s="5" t="s">
        <v>37</v>
      </c>
      <c r="G54" s="4" t="s">
        <v>38</v>
      </c>
      <c r="H54" s="5" t="s">
        <v>39</v>
      </c>
      <c r="I54" s="4" t="s">
        <v>40</v>
      </c>
      <c r="J54" s="5" t="s">
        <v>41</v>
      </c>
      <c r="K54" s="4" t="s">
        <v>241</v>
      </c>
      <c r="L54" s="5" t="s">
        <v>242</v>
      </c>
      <c r="M54" s="5" t="s">
        <v>242</v>
      </c>
      <c r="N54" s="5" t="s">
        <v>447</v>
      </c>
      <c r="O54" s="18">
        <v>1384.19329472</v>
      </c>
      <c r="P54" s="13" t="str">
        <f t="shared" si="0"/>
        <v>Ver imagen</v>
      </c>
      <c r="R54"/>
      <c r="S54"/>
      <c r="T54"/>
      <c r="V54"/>
      <c r="W54"/>
      <c r="Y54"/>
      <c r="Z54"/>
      <c r="AA54"/>
      <c r="AB54"/>
      <c r="AC54"/>
      <c r="AE54"/>
      <c r="AF54"/>
      <c r="AG54"/>
      <c r="AH54"/>
      <c r="AI54"/>
      <c r="AR54"/>
      <c r="AS54"/>
    </row>
    <row r="55" spans="1:45" ht="39.6" x14ac:dyDescent="0.3">
      <c r="A55" s="17" t="s">
        <v>34</v>
      </c>
      <c r="B55" s="5" t="s">
        <v>35</v>
      </c>
      <c r="C55" s="4" t="s">
        <v>16</v>
      </c>
      <c r="D55" s="5" t="s">
        <v>17</v>
      </c>
      <c r="E55" s="4" t="s">
        <v>18</v>
      </c>
      <c r="F55" s="5" t="s">
        <v>17</v>
      </c>
      <c r="G55" s="4" t="s">
        <v>68</v>
      </c>
      <c r="H55" s="5" t="s">
        <v>69</v>
      </c>
      <c r="I55" s="4" t="s">
        <v>131</v>
      </c>
      <c r="J55" s="5" t="s">
        <v>132</v>
      </c>
      <c r="K55" s="4" t="s">
        <v>243</v>
      </c>
      <c r="L55" s="5" t="s">
        <v>244</v>
      </c>
      <c r="M55" s="5" t="s">
        <v>244</v>
      </c>
      <c r="N55" s="5" t="s">
        <v>448</v>
      </c>
      <c r="O55" s="18">
        <v>93.4251282683</v>
      </c>
      <c r="P55" s="13" t="str">
        <f t="shared" si="0"/>
        <v>Ver imagen</v>
      </c>
      <c r="R55"/>
      <c r="S55"/>
      <c r="T55"/>
      <c r="V55"/>
      <c r="W55"/>
      <c r="Y55"/>
      <c r="Z55"/>
      <c r="AA55"/>
      <c r="AB55"/>
      <c r="AC55"/>
      <c r="AE55"/>
      <c r="AF55"/>
      <c r="AG55"/>
      <c r="AH55"/>
      <c r="AI55"/>
      <c r="AR55"/>
      <c r="AS55"/>
    </row>
    <row r="56" spans="1:45" ht="39.6" x14ac:dyDescent="0.3">
      <c r="A56" s="17" t="s">
        <v>25</v>
      </c>
      <c r="B56" s="5" t="s">
        <v>26</v>
      </c>
      <c r="C56" s="4" t="s">
        <v>30</v>
      </c>
      <c r="D56" s="5" t="s">
        <v>32</v>
      </c>
      <c r="E56" s="4" t="s">
        <v>18</v>
      </c>
      <c r="F56" s="5" t="s">
        <v>17</v>
      </c>
      <c r="G56" s="4" t="s">
        <v>29</v>
      </c>
      <c r="H56" s="5" t="s">
        <v>17</v>
      </c>
      <c r="I56" s="4" t="s">
        <v>46</v>
      </c>
      <c r="J56" s="5" t="s">
        <v>47</v>
      </c>
      <c r="K56" s="4" t="s">
        <v>245</v>
      </c>
      <c r="L56" s="5" t="s">
        <v>246</v>
      </c>
      <c r="M56" s="5" t="s">
        <v>246</v>
      </c>
      <c r="N56" s="5" t="s">
        <v>449</v>
      </c>
      <c r="O56" s="18">
        <v>82.859123546199996</v>
      </c>
      <c r="P56" s="13" t="str">
        <f t="shared" si="0"/>
        <v>Ver imagen</v>
      </c>
      <c r="R56"/>
      <c r="S56"/>
      <c r="T56"/>
      <c r="V56"/>
      <c r="W56"/>
      <c r="Y56"/>
      <c r="Z56"/>
      <c r="AA56"/>
      <c r="AB56"/>
      <c r="AC56"/>
      <c r="AE56"/>
      <c r="AF56"/>
      <c r="AG56"/>
      <c r="AH56"/>
      <c r="AI56"/>
      <c r="AR56"/>
      <c r="AS56"/>
    </row>
    <row r="57" spans="1:45" ht="39.6" x14ac:dyDescent="0.3">
      <c r="A57" s="17" t="s">
        <v>92</v>
      </c>
      <c r="B57" s="5" t="s">
        <v>93</v>
      </c>
      <c r="C57" s="4" t="s">
        <v>16</v>
      </c>
      <c r="D57" s="5" t="s">
        <v>17</v>
      </c>
      <c r="E57" s="4" t="s">
        <v>18</v>
      </c>
      <c r="F57" s="5" t="s">
        <v>17</v>
      </c>
      <c r="G57" s="4" t="s">
        <v>114</v>
      </c>
      <c r="H57" s="5" t="s">
        <v>115</v>
      </c>
      <c r="I57" s="4" t="s">
        <v>123</v>
      </c>
      <c r="J57" s="5" t="s">
        <v>124</v>
      </c>
      <c r="K57" s="4" t="s">
        <v>247</v>
      </c>
      <c r="L57" s="5" t="s">
        <v>248</v>
      </c>
      <c r="M57" s="5" t="s">
        <v>248</v>
      </c>
      <c r="N57" s="5" t="s">
        <v>450</v>
      </c>
      <c r="O57" s="18">
        <v>332.20462843000001</v>
      </c>
      <c r="P57" s="13" t="str">
        <f t="shared" si="0"/>
        <v>Ver imagen</v>
      </c>
      <c r="R57"/>
      <c r="S57"/>
      <c r="T57"/>
      <c r="V57"/>
      <c r="W57"/>
      <c r="Y57"/>
      <c r="Z57"/>
      <c r="AA57"/>
      <c r="AB57"/>
      <c r="AC57"/>
      <c r="AE57"/>
      <c r="AF57"/>
      <c r="AG57"/>
      <c r="AH57"/>
      <c r="AI57"/>
      <c r="AR57"/>
      <c r="AS57"/>
    </row>
    <row r="58" spans="1:45" ht="39.6" x14ac:dyDescent="0.3">
      <c r="A58" s="17" t="s">
        <v>14</v>
      </c>
      <c r="B58" s="5" t="s">
        <v>15</v>
      </c>
      <c r="C58" s="4" t="s">
        <v>16</v>
      </c>
      <c r="D58" s="5" t="s">
        <v>17</v>
      </c>
      <c r="E58" s="4" t="s">
        <v>18</v>
      </c>
      <c r="F58" s="5" t="s">
        <v>17</v>
      </c>
      <c r="G58" s="4" t="s">
        <v>55</v>
      </c>
      <c r="H58" s="5" t="s">
        <v>56</v>
      </c>
      <c r="I58" s="4" t="s">
        <v>57</v>
      </c>
      <c r="J58" s="5" t="s">
        <v>58</v>
      </c>
      <c r="K58" s="4" t="s">
        <v>249</v>
      </c>
      <c r="L58" s="5" t="s">
        <v>250</v>
      </c>
      <c r="M58" s="5" t="s">
        <v>250</v>
      </c>
      <c r="N58" s="5" t="s">
        <v>451</v>
      </c>
      <c r="O58" s="18">
        <v>190.225121317</v>
      </c>
      <c r="P58" s="13" t="str">
        <f t="shared" si="0"/>
        <v>Ver imagen</v>
      </c>
      <c r="R58"/>
      <c r="S58"/>
      <c r="T58"/>
      <c r="V58"/>
      <c r="W58"/>
      <c r="Y58"/>
      <c r="Z58"/>
      <c r="AA58"/>
      <c r="AB58"/>
      <c r="AC58"/>
      <c r="AE58"/>
      <c r="AF58"/>
      <c r="AG58"/>
      <c r="AH58"/>
      <c r="AI58"/>
      <c r="AR58"/>
      <c r="AS58"/>
    </row>
    <row r="59" spans="1:45" ht="39.6" x14ac:dyDescent="0.3">
      <c r="A59" s="17" t="s">
        <v>92</v>
      </c>
      <c r="B59" s="5" t="s">
        <v>93</v>
      </c>
      <c r="C59" s="4" t="s">
        <v>16</v>
      </c>
      <c r="D59" s="5" t="s">
        <v>17</v>
      </c>
      <c r="E59" s="4" t="s">
        <v>18</v>
      </c>
      <c r="F59" s="5" t="s">
        <v>17</v>
      </c>
      <c r="G59" s="4" t="s">
        <v>114</v>
      </c>
      <c r="H59" s="5" t="s">
        <v>115</v>
      </c>
      <c r="I59" s="4" t="s">
        <v>123</v>
      </c>
      <c r="J59" s="5" t="s">
        <v>124</v>
      </c>
      <c r="K59" s="4" t="s">
        <v>251</v>
      </c>
      <c r="L59" s="5" t="s">
        <v>252</v>
      </c>
      <c r="M59" s="5" t="s">
        <v>252</v>
      </c>
      <c r="N59" s="5" t="s">
        <v>452</v>
      </c>
      <c r="O59" s="18">
        <v>118.207933506</v>
      </c>
      <c r="P59" s="13" t="str">
        <f t="shared" si="0"/>
        <v>Ver imagen</v>
      </c>
      <c r="R59"/>
      <c r="S59"/>
      <c r="T59"/>
      <c r="V59"/>
      <c r="W59"/>
      <c r="Y59"/>
      <c r="Z59"/>
      <c r="AA59"/>
      <c r="AB59"/>
      <c r="AC59"/>
      <c r="AE59"/>
      <c r="AF59"/>
      <c r="AG59"/>
      <c r="AH59"/>
      <c r="AI59"/>
      <c r="AR59"/>
      <c r="AS59"/>
    </row>
    <row r="60" spans="1:45" ht="39.6" x14ac:dyDescent="0.3">
      <c r="A60" s="17" t="s">
        <v>14</v>
      </c>
      <c r="B60" s="5" t="s">
        <v>15</v>
      </c>
      <c r="C60" s="4" t="s">
        <v>16</v>
      </c>
      <c r="D60" s="5" t="s">
        <v>17</v>
      </c>
      <c r="E60" s="4" t="s">
        <v>18</v>
      </c>
      <c r="F60" s="5" t="s">
        <v>17</v>
      </c>
      <c r="G60" s="4" t="s">
        <v>29</v>
      </c>
      <c r="H60" s="5" t="s">
        <v>17</v>
      </c>
      <c r="I60" s="4" t="s">
        <v>165</v>
      </c>
      <c r="J60" s="5" t="s">
        <v>166</v>
      </c>
      <c r="K60" s="4" t="s">
        <v>253</v>
      </c>
      <c r="L60" s="5" t="s">
        <v>254</v>
      </c>
      <c r="M60" s="5" t="s">
        <v>254</v>
      </c>
      <c r="N60" s="5" t="s">
        <v>453</v>
      </c>
      <c r="O60" s="18">
        <v>151.84300990200001</v>
      </c>
      <c r="P60" s="13" t="str">
        <f t="shared" si="0"/>
        <v>Ver imagen</v>
      </c>
      <c r="R60"/>
      <c r="S60"/>
      <c r="T60"/>
      <c r="V60"/>
      <c r="W60"/>
      <c r="Y60"/>
      <c r="Z60"/>
      <c r="AA60"/>
      <c r="AB60"/>
      <c r="AC60"/>
      <c r="AE60"/>
      <c r="AF60"/>
      <c r="AG60"/>
      <c r="AH60"/>
      <c r="AI60"/>
      <c r="AR60"/>
      <c r="AS60"/>
    </row>
    <row r="61" spans="1:45" ht="39.6" x14ac:dyDescent="0.3">
      <c r="A61" s="17" t="s">
        <v>14</v>
      </c>
      <c r="B61" s="5" t="s">
        <v>15</v>
      </c>
      <c r="C61" s="4" t="s">
        <v>16</v>
      </c>
      <c r="D61" s="5" t="s">
        <v>17</v>
      </c>
      <c r="E61" s="4" t="s">
        <v>18</v>
      </c>
      <c r="F61" s="5" t="s">
        <v>17</v>
      </c>
      <c r="G61" s="4" t="s">
        <v>55</v>
      </c>
      <c r="H61" s="5" t="s">
        <v>56</v>
      </c>
      <c r="I61" s="4" t="s">
        <v>57</v>
      </c>
      <c r="J61" s="5" t="s">
        <v>58</v>
      </c>
      <c r="K61" s="4" t="s">
        <v>255</v>
      </c>
      <c r="L61" s="5" t="s">
        <v>256</v>
      </c>
      <c r="M61" s="5" t="s">
        <v>256</v>
      </c>
      <c r="N61" s="5" t="s">
        <v>454</v>
      </c>
      <c r="O61" s="18">
        <v>83.326889125899996</v>
      </c>
      <c r="P61" s="13" t="str">
        <f t="shared" si="0"/>
        <v>Ver imagen</v>
      </c>
      <c r="R61"/>
      <c r="S61"/>
      <c r="T61"/>
      <c r="V61"/>
      <c r="W61"/>
      <c r="Y61"/>
      <c r="Z61"/>
      <c r="AA61"/>
      <c r="AB61"/>
      <c r="AC61"/>
      <c r="AE61"/>
      <c r="AF61"/>
      <c r="AG61"/>
      <c r="AH61"/>
      <c r="AI61"/>
      <c r="AR61"/>
      <c r="AS61"/>
    </row>
    <row r="62" spans="1:45" ht="39.6" x14ac:dyDescent="0.3">
      <c r="A62" s="17" t="s">
        <v>34</v>
      </c>
      <c r="B62" s="5" t="s">
        <v>35</v>
      </c>
      <c r="C62" s="4" t="s">
        <v>16</v>
      </c>
      <c r="D62" s="5" t="s">
        <v>17</v>
      </c>
      <c r="E62" s="4" t="s">
        <v>36</v>
      </c>
      <c r="F62" s="5" t="s">
        <v>37</v>
      </c>
      <c r="G62" s="4" t="s">
        <v>68</v>
      </c>
      <c r="H62" s="5" t="s">
        <v>69</v>
      </c>
      <c r="I62" s="4" t="s">
        <v>131</v>
      </c>
      <c r="J62" s="5" t="s">
        <v>132</v>
      </c>
      <c r="K62" s="4" t="s">
        <v>257</v>
      </c>
      <c r="L62" s="5" t="s">
        <v>258</v>
      </c>
      <c r="M62" s="5" t="s">
        <v>258</v>
      </c>
      <c r="N62" s="5" t="s">
        <v>455</v>
      </c>
      <c r="O62" s="18">
        <v>114.884755445</v>
      </c>
      <c r="P62" s="13" t="str">
        <f t="shared" si="0"/>
        <v>Ver imagen</v>
      </c>
      <c r="R62"/>
      <c r="S62"/>
      <c r="T62"/>
      <c r="V62"/>
      <c r="W62"/>
      <c r="Y62"/>
      <c r="Z62"/>
      <c r="AA62"/>
      <c r="AB62"/>
      <c r="AC62"/>
      <c r="AE62"/>
      <c r="AF62"/>
      <c r="AG62"/>
      <c r="AH62"/>
      <c r="AI62"/>
      <c r="AR62"/>
      <c r="AS62"/>
    </row>
    <row r="63" spans="1:45" ht="39.6" x14ac:dyDescent="0.3">
      <c r="A63" s="17" t="s">
        <v>72</v>
      </c>
      <c r="B63" s="5" t="s">
        <v>73</v>
      </c>
      <c r="C63" s="4" t="s">
        <v>16</v>
      </c>
      <c r="D63" s="5" t="s">
        <v>17</v>
      </c>
      <c r="E63" s="4" t="s">
        <v>18</v>
      </c>
      <c r="F63" s="5" t="s">
        <v>17</v>
      </c>
      <c r="G63" s="4" t="s">
        <v>99</v>
      </c>
      <c r="H63" s="5" t="s">
        <v>100</v>
      </c>
      <c r="I63" s="4" t="s">
        <v>103</v>
      </c>
      <c r="J63" s="5" t="s">
        <v>104</v>
      </c>
      <c r="K63" s="4" t="s">
        <v>259</v>
      </c>
      <c r="L63" s="5" t="s">
        <v>260</v>
      </c>
      <c r="M63" s="5" t="s">
        <v>260</v>
      </c>
      <c r="N63" s="5" t="s">
        <v>456</v>
      </c>
      <c r="O63" s="18">
        <v>54.182120662999999</v>
      </c>
      <c r="P63" s="13" t="str">
        <f t="shared" si="0"/>
        <v>Ver imagen</v>
      </c>
      <c r="R63"/>
      <c r="S63"/>
      <c r="T63"/>
      <c r="V63"/>
      <c r="W63"/>
      <c r="Y63"/>
      <c r="Z63"/>
      <c r="AA63"/>
      <c r="AB63"/>
      <c r="AC63"/>
      <c r="AE63"/>
      <c r="AF63"/>
      <c r="AG63"/>
      <c r="AH63"/>
      <c r="AI63"/>
      <c r="AR63"/>
      <c r="AS63"/>
    </row>
    <row r="64" spans="1:45" ht="39.6" x14ac:dyDescent="0.3">
      <c r="A64" s="17" t="s">
        <v>25</v>
      </c>
      <c r="B64" s="5" t="s">
        <v>26</v>
      </c>
      <c r="C64" s="4" t="s">
        <v>30</v>
      </c>
      <c r="D64" s="5" t="s">
        <v>32</v>
      </c>
      <c r="E64" s="4" t="s">
        <v>18</v>
      </c>
      <c r="F64" s="5" t="s">
        <v>17</v>
      </c>
      <c r="G64" s="4" t="s">
        <v>29</v>
      </c>
      <c r="H64" s="5" t="s">
        <v>17</v>
      </c>
      <c r="I64" s="4" t="s">
        <v>63</v>
      </c>
      <c r="J64" s="5" t="s">
        <v>64</v>
      </c>
      <c r="K64" s="4" t="s">
        <v>261</v>
      </c>
      <c r="L64" s="5" t="s">
        <v>262</v>
      </c>
      <c r="M64" s="5" t="s">
        <v>262</v>
      </c>
      <c r="N64" s="5" t="s">
        <v>457</v>
      </c>
      <c r="O64" s="18">
        <v>19.649555271299999</v>
      </c>
      <c r="P64" s="13" t="str">
        <f t="shared" si="0"/>
        <v>Ver imagen</v>
      </c>
      <c r="R64"/>
      <c r="S64"/>
      <c r="T64"/>
      <c r="V64"/>
      <c r="W64"/>
      <c r="Y64"/>
      <c r="Z64"/>
      <c r="AA64"/>
      <c r="AB64"/>
      <c r="AC64"/>
      <c r="AE64"/>
      <c r="AF64"/>
      <c r="AG64"/>
      <c r="AH64"/>
      <c r="AI64"/>
      <c r="AR64"/>
      <c r="AS64"/>
    </row>
    <row r="65" spans="1:45" ht="39.6" x14ac:dyDescent="0.3">
      <c r="A65" s="17" t="s">
        <v>92</v>
      </c>
      <c r="B65" s="5" t="s">
        <v>93</v>
      </c>
      <c r="C65" s="4" t="s">
        <v>16</v>
      </c>
      <c r="D65" s="5" t="s">
        <v>17</v>
      </c>
      <c r="E65" s="4" t="s">
        <v>18</v>
      </c>
      <c r="F65" s="5" t="s">
        <v>17</v>
      </c>
      <c r="G65" s="4" t="s">
        <v>114</v>
      </c>
      <c r="H65" s="5" t="s">
        <v>115</v>
      </c>
      <c r="I65" s="4" t="s">
        <v>149</v>
      </c>
      <c r="J65" s="5" t="s">
        <v>150</v>
      </c>
      <c r="K65" s="4" t="s">
        <v>263</v>
      </c>
      <c r="L65" s="5" t="s">
        <v>264</v>
      </c>
      <c r="M65" s="5" t="s">
        <v>264</v>
      </c>
      <c r="N65" s="5" t="s">
        <v>458</v>
      </c>
      <c r="O65" s="18">
        <v>2841.1160880900002</v>
      </c>
      <c r="P65" s="13" t="str">
        <f t="shared" si="0"/>
        <v>Ver imagen</v>
      </c>
      <c r="R65"/>
      <c r="S65"/>
      <c r="T65"/>
      <c r="V65"/>
      <c r="W65"/>
      <c r="Y65"/>
      <c r="Z65"/>
      <c r="AA65"/>
      <c r="AB65"/>
      <c r="AC65"/>
      <c r="AE65"/>
      <c r="AF65"/>
      <c r="AG65"/>
      <c r="AH65"/>
      <c r="AI65"/>
      <c r="AR65"/>
      <c r="AS65"/>
    </row>
    <row r="66" spans="1:45" ht="39.6" x14ac:dyDescent="0.3">
      <c r="A66" s="17" t="s">
        <v>72</v>
      </c>
      <c r="B66" s="5" t="s">
        <v>73</v>
      </c>
      <c r="C66" s="4" t="s">
        <v>16</v>
      </c>
      <c r="D66" s="5" t="s">
        <v>17</v>
      </c>
      <c r="E66" s="4" t="s">
        <v>18</v>
      </c>
      <c r="F66" s="5" t="s">
        <v>17</v>
      </c>
      <c r="G66" s="4" t="s">
        <v>99</v>
      </c>
      <c r="H66" s="5" t="s">
        <v>100</v>
      </c>
      <c r="I66" s="4" t="s">
        <v>103</v>
      </c>
      <c r="J66" s="5" t="s">
        <v>104</v>
      </c>
      <c r="K66" s="4" t="s">
        <v>265</v>
      </c>
      <c r="L66" s="5" t="s">
        <v>266</v>
      </c>
      <c r="M66" s="5" t="s">
        <v>266</v>
      </c>
      <c r="N66" s="5" t="s">
        <v>459</v>
      </c>
      <c r="O66" s="18">
        <v>201.199157673</v>
      </c>
      <c r="P66" s="13" t="str">
        <f t="shared" si="0"/>
        <v>Ver imagen</v>
      </c>
      <c r="R66"/>
      <c r="S66"/>
      <c r="T66"/>
      <c r="V66"/>
      <c r="W66"/>
      <c r="Y66"/>
      <c r="Z66"/>
      <c r="AA66"/>
      <c r="AB66"/>
      <c r="AC66"/>
      <c r="AE66"/>
      <c r="AF66"/>
      <c r="AG66"/>
      <c r="AH66"/>
      <c r="AI66"/>
      <c r="AR66"/>
      <c r="AS66"/>
    </row>
    <row r="67" spans="1:45" ht="39.6" x14ac:dyDescent="0.3">
      <c r="A67" s="17" t="s">
        <v>72</v>
      </c>
      <c r="B67" s="5" t="s">
        <v>73</v>
      </c>
      <c r="C67" s="4" t="s">
        <v>16</v>
      </c>
      <c r="D67" s="5" t="s">
        <v>17</v>
      </c>
      <c r="E67" s="4" t="s">
        <v>18</v>
      </c>
      <c r="F67" s="5" t="s">
        <v>17</v>
      </c>
      <c r="G67" s="4" t="s">
        <v>51</v>
      </c>
      <c r="H67" s="5" t="s">
        <v>52</v>
      </c>
      <c r="I67" s="4" t="s">
        <v>177</v>
      </c>
      <c r="J67" s="5" t="s">
        <v>178</v>
      </c>
      <c r="K67" s="4" t="s">
        <v>267</v>
      </c>
      <c r="L67" s="5" t="s">
        <v>268</v>
      </c>
      <c r="M67" s="5" t="s">
        <v>268</v>
      </c>
      <c r="N67" s="5" t="s">
        <v>460</v>
      </c>
      <c r="O67" s="18">
        <v>205.00067575899999</v>
      </c>
      <c r="P67" s="13" t="str">
        <f t="shared" si="0"/>
        <v>Ver imagen</v>
      </c>
      <c r="R67"/>
      <c r="S67"/>
      <c r="T67"/>
      <c r="V67"/>
      <c r="W67"/>
      <c r="Y67"/>
      <c r="Z67"/>
      <c r="AA67"/>
      <c r="AB67"/>
      <c r="AC67"/>
      <c r="AE67"/>
      <c r="AF67"/>
      <c r="AG67"/>
      <c r="AH67"/>
      <c r="AI67"/>
      <c r="AR67"/>
      <c r="AS67"/>
    </row>
    <row r="68" spans="1:45" ht="39.6" x14ac:dyDescent="0.3">
      <c r="A68" s="17" t="s">
        <v>14</v>
      </c>
      <c r="B68" s="5" t="s">
        <v>15</v>
      </c>
      <c r="C68" s="4" t="s">
        <v>16</v>
      </c>
      <c r="D68" s="5" t="s">
        <v>17</v>
      </c>
      <c r="E68" s="4" t="s">
        <v>65</v>
      </c>
      <c r="F68" s="5" t="s">
        <v>66</v>
      </c>
      <c r="G68" s="4" t="s">
        <v>29</v>
      </c>
      <c r="H68" s="5" t="s">
        <v>17</v>
      </c>
      <c r="I68" s="4" t="s">
        <v>165</v>
      </c>
      <c r="J68" s="5" t="s">
        <v>166</v>
      </c>
      <c r="K68" s="4" t="s">
        <v>269</v>
      </c>
      <c r="L68" s="5" t="s">
        <v>270</v>
      </c>
      <c r="M68" s="5" t="s">
        <v>270</v>
      </c>
      <c r="N68" s="5" t="s">
        <v>461</v>
      </c>
      <c r="O68" s="18">
        <v>132.71928526400001</v>
      </c>
      <c r="P68" s="13" t="str">
        <f t="shared" ref="P68:P127" si="8">HYPERLINK(N68,"Ver imagen")</f>
        <v>Ver imagen</v>
      </c>
      <c r="R68"/>
      <c r="S68"/>
      <c r="T68"/>
      <c r="V68"/>
      <c r="W68"/>
      <c r="Y68"/>
      <c r="Z68"/>
      <c r="AA68"/>
      <c r="AB68"/>
      <c r="AC68"/>
      <c r="AE68"/>
      <c r="AF68"/>
      <c r="AG68"/>
      <c r="AH68"/>
      <c r="AI68"/>
      <c r="AR68"/>
      <c r="AS68"/>
    </row>
    <row r="69" spans="1:45" ht="39.6" x14ac:dyDescent="0.3">
      <c r="A69" s="17" t="s">
        <v>25</v>
      </c>
      <c r="B69" s="5" t="s">
        <v>26</v>
      </c>
      <c r="C69" s="4" t="s">
        <v>30</v>
      </c>
      <c r="D69" s="5" t="s">
        <v>32</v>
      </c>
      <c r="E69" s="4" t="s">
        <v>18</v>
      </c>
      <c r="F69" s="5" t="s">
        <v>17</v>
      </c>
      <c r="G69" s="4" t="s">
        <v>29</v>
      </c>
      <c r="H69" s="5" t="s">
        <v>17</v>
      </c>
      <c r="I69" s="4" t="s">
        <v>63</v>
      </c>
      <c r="J69" s="5" t="s">
        <v>64</v>
      </c>
      <c r="K69" s="4" t="s">
        <v>271</v>
      </c>
      <c r="L69" s="5" t="s">
        <v>272</v>
      </c>
      <c r="M69" s="5" t="s">
        <v>272</v>
      </c>
      <c r="N69" s="5" t="s">
        <v>462</v>
      </c>
      <c r="O69" s="18">
        <v>36.807340511</v>
      </c>
      <c r="P69" s="13" t="str">
        <f t="shared" si="8"/>
        <v>Ver imagen</v>
      </c>
      <c r="R69"/>
      <c r="S69"/>
      <c r="T69"/>
      <c r="V69"/>
      <c r="W69"/>
      <c r="Y69"/>
      <c r="Z69"/>
      <c r="AA69"/>
      <c r="AB69"/>
      <c r="AC69"/>
      <c r="AE69"/>
      <c r="AF69"/>
      <c r="AG69"/>
      <c r="AH69"/>
      <c r="AI69"/>
      <c r="AR69"/>
      <c r="AS69"/>
    </row>
    <row r="70" spans="1:45" ht="39.6" x14ac:dyDescent="0.3">
      <c r="A70" s="17" t="s">
        <v>72</v>
      </c>
      <c r="B70" s="5" t="s">
        <v>73</v>
      </c>
      <c r="C70" s="4" t="s">
        <v>16</v>
      </c>
      <c r="D70" s="5" t="s">
        <v>17</v>
      </c>
      <c r="E70" s="4" t="s">
        <v>18</v>
      </c>
      <c r="F70" s="5" t="s">
        <v>17</v>
      </c>
      <c r="G70" s="4" t="s">
        <v>51</v>
      </c>
      <c r="H70" s="5" t="s">
        <v>52</v>
      </c>
      <c r="I70" s="4" t="s">
        <v>177</v>
      </c>
      <c r="J70" s="5" t="s">
        <v>178</v>
      </c>
      <c r="K70" s="4" t="s">
        <v>273</v>
      </c>
      <c r="L70" s="5" t="s">
        <v>274</v>
      </c>
      <c r="M70" s="5" t="s">
        <v>274</v>
      </c>
      <c r="N70" s="5" t="s">
        <v>463</v>
      </c>
      <c r="O70" s="18">
        <v>54.636079594500004</v>
      </c>
      <c r="P70" s="13" t="str">
        <f t="shared" si="8"/>
        <v>Ver imagen</v>
      </c>
      <c r="R70"/>
      <c r="S70"/>
      <c r="T70"/>
      <c r="V70"/>
      <c r="W70"/>
      <c r="Y70"/>
      <c r="Z70"/>
      <c r="AA70"/>
      <c r="AB70"/>
      <c r="AC70"/>
      <c r="AE70"/>
      <c r="AF70"/>
      <c r="AG70"/>
      <c r="AH70"/>
      <c r="AI70"/>
      <c r="AR70"/>
      <c r="AS70"/>
    </row>
    <row r="71" spans="1:45" ht="39.6" x14ac:dyDescent="0.3">
      <c r="A71" s="17" t="s">
        <v>14</v>
      </c>
      <c r="B71" s="5" t="s">
        <v>15</v>
      </c>
      <c r="C71" s="4" t="s">
        <v>16</v>
      </c>
      <c r="D71" s="5" t="s">
        <v>17</v>
      </c>
      <c r="E71" s="4" t="s">
        <v>65</v>
      </c>
      <c r="F71" s="5" t="s">
        <v>66</v>
      </c>
      <c r="G71" s="4" t="s">
        <v>19</v>
      </c>
      <c r="H71" s="5" t="s">
        <v>20</v>
      </c>
      <c r="I71" s="4" t="s">
        <v>165</v>
      </c>
      <c r="J71" s="5" t="s">
        <v>166</v>
      </c>
      <c r="K71" s="4" t="s">
        <v>275</v>
      </c>
      <c r="L71" s="5" t="s">
        <v>276</v>
      </c>
      <c r="M71" s="5" t="s">
        <v>276</v>
      </c>
      <c r="N71" s="5" t="s">
        <v>464</v>
      </c>
      <c r="O71" s="18">
        <v>167.739650165</v>
      </c>
      <c r="P71" s="13" t="str">
        <f t="shared" si="8"/>
        <v>Ver imagen</v>
      </c>
      <c r="R71"/>
      <c r="S71"/>
      <c r="T71"/>
      <c r="V71"/>
      <c r="W71"/>
      <c r="Y71"/>
      <c r="Z71"/>
      <c r="AA71"/>
      <c r="AB71"/>
      <c r="AC71"/>
      <c r="AE71"/>
      <c r="AF71"/>
      <c r="AG71"/>
      <c r="AH71"/>
      <c r="AI71"/>
      <c r="AR71"/>
      <c r="AS71"/>
    </row>
    <row r="72" spans="1:45" ht="39.6" x14ac:dyDescent="0.3">
      <c r="A72" s="17" t="s">
        <v>34</v>
      </c>
      <c r="B72" s="5" t="s">
        <v>35</v>
      </c>
      <c r="C72" s="4" t="s">
        <v>16</v>
      </c>
      <c r="D72" s="5" t="s">
        <v>17</v>
      </c>
      <c r="E72" s="4" t="s">
        <v>36</v>
      </c>
      <c r="F72" s="5" t="s">
        <v>37</v>
      </c>
      <c r="G72" s="4" t="s">
        <v>29</v>
      </c>
      <c r="H72" s="5" t="s">
        <v>17</v>
      </c>
      <c r="I72" s="4" t="s">
        <v>131</v>
      </c>
      <c r="J72" s="5" t="s">
        <v>132</v>
      </c>
      <c r="K72" s="4" t="s">
        <v>277</v>
      </c>
      <c r="L72" s="5" t="s">
        <v>278</v>
      </c>
      <c r="M72" s="5" t="s">
        <v>278</v>
      </c>
      <c r="N72" s="5" t="s">
        <v>465</v>
      </c>
      <c r="O72" s="18">
        <v>216.41644316099999</v>
      </c>
      <c r="P72" s="13" t="str">
        <f t="shared" si="8"/>
        <v>Ver imagen</v>
      </c>
      <c r="R72"/>
      <c r="S72"/>
      <c r="T72"/>
      <c r="V72"/>
      <c r="W72"/>
      <c r="Y72"/>
      <c r="Z72"/>
      <c r="AA72"/>
      <c r="AB72"/>
      <c r="AC72"/>
      <c r="AE72"/>
      <c r="AF72"/>
      <c r="AG72"/>
      <c r="AH72"/>
      <c r="AI72"/>
      <c r="AR72"/>
      <c r="AS72"/>
    </row>
    <row r="73" spans="1:45" ht="39.6" x14ac:dyDescent="0.3">
      <c r="A73" s="17" t="s">
        <v>61</v>
      </c>
      <c r="B73" s="5" t="s">
        <v>62</v>
      </c>
      <c r="C73" s="4" t="s">
        <v>16</v>
      </c>
      <c r="D73" s="5" t="s">
        <v>17</v>
      </c>
      <c r="E73" s="4" t="s">
        <v>18</v>
      </c>
      <c r="F73" s="5" t="s">
        <v>17</v>
      </c>
      <c r="G73" s="4" t="s">
        <v>29</v>
      </c>
      <c r="H73" s="5" t="s">
        <v>17</v>
      </c>
      <c r="I73" s="4" t="s">
        <v>94</v>
      </c>
      <c r="J73" s="5" t="s">
        <v>95</v>
      </c>
      <c r="K73" s="4" t="s">
        <v>279</v>
      </c>
      <c r="L73" s="5" t="s">
        <v>280</v>
      </c>
      <c r="M73" s="5" t="s">
        <v>280</v>
      </c>
      <c r="N73" s="5" t="s">
        <v>466</v>
      </c>
      <c r="O73" s="18">
        <v>455.64590205899998</v>
      </c>
      <c r="P73" s="13" t="str">
        <f t="shared" si="8"/>
        <v>Ver imagen</v>
      </c>
      <c r="R73"/>
      <c r="S73"/>
      <c r="T73"/>
      <c r="V73"/>
      <c r="W73"/>
      <c r="Y73"/>
      <c r="Z73"/>
      <c r="AA73"/>
      <c r="AB73"/>
      <c r="AC73"/>
      <c r="AE73"/>
      <c r="AF73"/>
      <c r="AG73"/>
      <c r="AH73"/>
      <c r="AI73"/>
      <c r="AR73"/>
      <c r="AS73"/>
    </row>
    <row r="74" spans="1:45" ht="39.6" x14ac:dyDescent="0.3">
      <c r="A74" s="17" t="s">
        <v>14</v>
      </c>
      <c r="B74" s="5" t="s">
        <v>15</v>
      </c>
      <c r="C74" s="4" t="s">
        <v>16</v>
      </c>
      <c r="D74" s="5" t="s">
        <v>17</v>
      </c>
      <c r="E74" s="4" t="s">
        <v>18</v>
      </c>
      <c r="F74" s="5" t="s">
        <v>17</v>
      </c>
      <c r="G74" s="4" t="s">
        <v>55</v>
      </c>
      <c r="H74" s="5" t="s">
        <v>56</v>
      </c>
      <c r="I74" s="4" t="s">
        <v>165</v>
      </c>
      <c r="J74" s="5" t="s">
        <v>166</v>
      </c>
      <c r="K74" s="4" t="s">
        <v>281</v>
      </c>
      <c r="L74" s="5" t="s">
        <v>282</v>
      </c>
      <c r="M74" s="5" t="s">
        <v>282</v>
      </c>
      <c r="N74" s="5" t="s">
        <v>467</v>
      </c>
      <c r="O74" s="18">
        <v>112.286049327</v>
      </c>
      <c r="P74" s="13" t="str">
        <f t="shared" si="8"/>
        <v>Ver imagen</v>
      </c>
      <c r="R74"/>
      <c r="S74"/>
      <c r="T74"/>
      <c r="V74"/>
      <c r="W74"/>
      <c r="Y74"/>
      <c r="Z74"/>
      <c r="AA74"/>
      <c r="AB74"/>
      <c r="AC74"/>
      <c r="AE74"/>
      <c r="AF74"/>
      <c r="AG74"/>
      <c r="AH74"/>
      <c r="AI74"/>
      <c r="AR74"/>
      <c r="AS74"/>
    </row>
    <row r="75" spans="1:45" ht="39.6" x14ac:dyDescent="0.3">
      <c r="A75" s="17" t="s">
        <v>72</v>
      </c>
      <c r="B75" s="5" t="s">
        <v>73</v>
      </c>
      <c r="C75" s="4" t="s">
        <v>16</v>
      </c>
      <c r="D75" s="5" t="s">
        <v>17</v>
      </c>
      <c r="E75" s="4" t="s">
        <v>18</v>
      </c>
      <c r="F75" s="5" t="s">
        <v>17</v>
      </c>
      <c r="G75" s="4" t="s">
        <v>51</v>
      </c>
      <c r="H75" s="5" t="s">
        <v>52</v>
      </c>
      <c r="I75" s="4" t="s">
        <v>177</v>
      </c>
      <c r="J75" s="5" t="s">
        <v>178</v>
      </c>
      <c r="K75" s="4" t="s">
        <v>283</v>
      </c>
      <c r="L75" s="5" t="s">
        <v>284</v>
      </c>
      <c r="M75" s="5" t="s">
        <v>284</v>
      </c>
      <c r="N75" s="5" t="s">
        <v>468</v>
      </c>
      <c r="O75" s="18">
        <v>76.0214720309</v>
      </c>
      <c r="P75" s="13" t="str">
        <f t="shared" si="8"/>
        <v>Ver imagen</v>
      </c>
      <c r="R75"/>
      <c r="S75"/>
      <c r="T75"/>
      <c r="V75"/>
      <c r="W75"/>
      <c r="Y75"/>
      <c r="Z75"/>
      <c r="AA75"/>
      <c r="AB75"/>
      <c r="AC75"/>
      <c r="AE75"/>
      <c r="AF75"/>
      <c r="AG75"/>
      <c r="AH75"/>
      <c r="AI75"/>
      <c r="AR75"/>
      <c r="AS75"/>
    </row>
    <row r="76" spans="1:45" ht="39.6" x14ac:dyDescent="0.3">
      <c r="A76" s="17" t="s">
        <v>127</v>
      </c>
      <c r="B76" s="5" t="s">
        <v>128</v>
      </c>
      <c r="C76" s="4" t="s">
        <v>16</v>
      </c>
      <c r="D76" s="5" t="s">
        <v>17</v>
      </c>
      <c r="E76" s="4" t="s">
        <v>96</v>
      </c>
      <c r="F76" s="5" t="s">
        <v>97</v>
      </c>
      <c r="G76" s="4" t="s">
        <v>29</v>
      </c>
      <c r="H76" s="5" t="s">
        <v>17</v>
      </c>
      <c r="I76" s="4" t="s">
        <v>185</v>
      </c>
      <c r="J76" s="5" t="s">
        <v>186</v>
      </c>
      <c r="K76" s="4" t="s">
        <v>285</v>
      </c>
      <c r="L76" s="5" t="s">
        <v>286</v>
      </c>
      <c r="M76" s="5" t="s">
        <v>286</v>
      </c>
      <c r="N76" s="5" t="s">
        <v>469</v>
      </c>
      <c r="O76" s="18">
        <v>1266.2015605199999</v>
      </c>
      <c r="P76" s="13" t="str">
        <f t="shared" si="8"/>
        <v>Ver imagen</v>
      </c>
      <c r="R76"/>
      <c r="S76"/>
      <c r="T76"/>
      <c r="V76"/>
      <c r="W76"/>
      <c r="Y76"/>
      <c r="Z76"/>
      <c r="AA76"/>
      <c r="AB76"/>
      <c r="AC76"/>
      <c r="AE76"/>
      <c r="AF76"/>
      <c r="AG76"/>
      <c r="AH76"/>
      <c r="AI76"/>
      <c r="AR76"/>
      <c r="AS76"/>
    </row>
    <row r="77" spans="1:45" ht="39.6" x14ac:dyDescent="0.3">
      <c r="A77" s="17" t="s">
        <v>127</v>
      </c>
      <c r="B77" s="5" t="s">
        <v>128</v>
      </c>
      <c r="C77" s="4" t="s">
        <v>16</v>
      </c>
      <c r="D77" s="5" t="s">
        <v>17</v>
      </c>
      <c r="E77" s="4" t="s">
        <v>96</v>
      </c>
      <c r="F77" s="5" t="s">
        <v>97</v>
      </c>
      <c r="G77" s="4" t="s">
        <v>29</v>
      </c>
      <c r="H77" s="5" t="s">
        <v>17</v>
      </c>
      <c r="I77" s="4" t="s">
        <v>139</v>
      </c>
      <c r="J77" s="5" t="s">
        <v>28</v>
      </c>
      <c r="K77" s="4" t="s">
        <v>287</v>
      </c>
      <c r="L77" s="5" t="s">
        <v>288</v>
      </c>
      <c r="M77" s="5" t="s">
        <v>288</v>
      </c>
      <c r="N77" s="5" t="s">
        <v>470</v>
      </c>
      <c r="O77" s="18">
        <v>1074.9473129800001</v>
      </c>
      <c r="P77" s="13" t="str">
        <f t="shared" si="8"/>
        <v>Ver imagen</v>
      </c>
      <c r="R77"/>
      <c r="S77"/>
      <c r="T77"/>
      <c r="V77"/>
      <c r="W77"/>
      <c r="Y77"/>
      <c r="Z77"/>
      <c r="AA77"/>
      <c r="AB77"/>
      <c r="AC77"/>
      <c r="AE77"/>
      <c r="AF77"/>
      <c r="AG77"/>
      <c r="AH77"/>
      <c r="AI77"/>
      <c r="AR77"/>
      <c r="AS77"/>
    </row>
    <row r="78" spans="1:45" ht="39.6" x14ac:dyDescent="0.3">
      <c r="A78" s="17" t="s">
        <v>14</v>
      </c>
      <c r="B78" s="5" t="s">
        <v>15</v>
      </c>
      <c r="C78" s="4" t="s">
        <v>16</v>
      </c>
      <c r="D78" s="5" t="s">
        <v>17</v>
      </c>
      <c r="E78" s="4" t="s">
        <v>18</v>
      </c>
      <c r="F78" s="5" t="s">
        <v>17</v>
      </c>
      <c r="G78" s="4" t="s">
        <v>19</v>
      </c>
      <c r="H78" s="5" t="s">
        <v>20</v>
      </c>
      <c r="I78" s="4" t="s">
        <v>21</v>
      </c>
      <c r="J78" s="5" t="s">
        <v>22</v>
      </c>
      <c r="K78" s="4" t="s">
        <v>289</v>
      </c>
      <c r="L78" s="5" t="s">
        <v>290</v>
      </c>
      <c r="M78" s="5" t="s">
        <v>290</v>
      </c>
      <c r="N78" s="5" t="s">
        <v>471</v>
      </c>
      <c r="O78" s="18">
        <v>316.76741830100002</v>
      </c>
      <c r="P78" s="13" t="str">
        <f t="shared" si="8"/>
        <v>Ver imagen</v>
      </c>
      <c r="R78"/>
      <c r="S78"/>
      <c r="T78"/>
      <c r="V78"/>
      <c r="W78"/>
      <c r="Y78"/>
      <c r="Z78"/>
      <c r="AA78"/>
      <c r="AB78"/>
      <c r="AC78"/>
      <c r="AE78"/>
      <c r="AF78"/>
      <c r="AG78"/>
      <c r="AH78"/>
      <c r="AI78"/>
      <c r="AR78"/>
      <c r="AS78"/>
    </row>
    <row r="79" spans="1:45" ht="39.6" x14ac:dyDescent="0.3">
      <c r="A79" s="17" t="s">
        <v>44</v>
      </c>
      <c r="B79" s="5" t="s">
        <v>45</v>
      </c>
      <c r="C79" s="4" t="s">
        <v>16</v>
      </c>
      <c r="D79" s="5" t="s">
        <v>17</v>
      </c>
      <c r="E79" s="4" t="s">
        <v>48</v>
      </c>
      <c r="F79" s="5" t="s">
        <v>49</v>
      </c>
      <c r="G79" s="4" t="s">
        <v>29</v>
      </c>
      <c r="H79" s="5" t="s">
        <v>17</v>
      </c>
      <c r="I79" s="4" t="s">
        <v>82</v>
      </c>
      <c r="J79" s="5" t="s">
        <v>45</v>
      </c>
      <c r="K79" s="4" t="s">
        <v>291</v>
      </c>
      <c r="L79" s="5" t="s">
        <v>292</v>
      </c>
      <c r="M79" s="5" t="s">
        <v>292</v>
      </c>
      <c r="N79" s="5" t="s">
        <v>472</v>
      </c>
      <c r="O79" s="18">
        <v>937.32294476100003</v>
      </c>
      <c r="P79" s="13" t="str">
        <f t="shared" si="8"/>
        <v>Ver imagen</v>
      </c>
      <c r="R79"/>
      <c r="S79"/>
      <c r="T79"/>
      <c r="V79"/>
      <c r="W79"/>
      <c r="Y79"/>
      <c r="Z79"/>
      <c r="AA79"/>
      <c r="AB79"/>
      <c r="AC79"/>
      <c r="AE79"/>
      <c r="AF79"/>
      <c r="AG79"/>
      <c r="AH79"/>
      <c r="AI79"/>
      <c r="AR79"/>
      <c r="AS79"/>
    </row>
    <row r="80" spans="1:45" ht="39.6" x14ac:dyDescent="0.3">
      <c r="A80" s="17" t="s">
        <v>127</v>
      </c>
      <c r="B80" s="5" t="s">
        <v>128</v>
      </c>
      <c r="C80" s="4" t="s">
        <v>16</v>
      </c>
      <c r="D80" s="5" t="s">
        <v>17</v>
      </c>
      <c r="E80" s="4" t="s">
        <v>96</v>
      </c>
      <c r="F80" s="5" t="s">
        <v>97</v>
      </c>
      <c r="G80" s="4" t="s">
        <v>29</v>
      </c>
      <c r="H80" s="5" t="s">
        <v>17</v>
      </c>
      <c r="I80" s="4" t="s">
        <v>146</v>
      </c>
      <c r="J80" s="5" t="s">
        <v>93</v>
      </c>
      <c r="K80" s="4" t="s">
        <v>293</v>
      </c>
      <c r="L80" s="5" t="s">
        <v>294</v>
      </c>
      <c r="M80" s="5" t="s">
        <v>294</v>
      </c>
      <c r="N80" s="5" t="s">
        <v>473</v>
      </c>
      <c r="O80" s="18">
        <v>1255.5854784600001</v>
      </c>
      <c r="P80" s="13" t="str">
        <f t="shared" si="8"/>
        <v>Ver imagen</v>
      </c>
      <c r="R80"/>
      <c r="S80"/>
      <c r="T80"/>
      <c r="V80"/>
      <c r="W80"/>
      <c r="Y80"/>
      <c r="Z80"/>
      <c r="AA80"/>
      <c r="AB80"/>
      <c r="AC80"/>
      <c r="AE80"/>
      <c r="AF80"/>
      <c r="AG80"/>
      <c r="AH80"/>
      <c r="AI80"/>
      <c r="AR80"/>
      <c r="AS80"/>
    </row>
    <row r="81" spans="1:45" ht="39.6" x14ac:dyDescent="0.3">
      <c r="A81" s="17" t="s">
        <v>34</v>
      </c>
      <c r="B81" s="5" t="s">
        <v>35</v>
      </c>
      <c r="C81" s="4" t="s">
        <v>16</v>
      </c>
      <c r="D81" s="5" t="s">
        <v>17</v>
      </c>
      <c r="E81" s="4" t="s">
        <v>36</v>
      </c>
      <c r="F81" s="5" t="s">
        <v>37</v>
      </c>
      <c r="G81" s="4" t="s">
        <v>68</v>
      </c>
      <c r="H81" s="5" t="s">
        <v>69</v>
      </c>
      <c r="I81" s="4" t="s">
        <v>131</v>
      </c>
      <c r="J81" s="5" t="s">
        <v>132</v>
      </c>
      <c r="K81" s="4" t="s">
        <v>295</v>
      </c>
      <c r="L81" s="5" t="s">
        <v>296</v>
      </c>
      <c r="M81" s="5" t="s">
        <v>296</v>
      </c>
      <c r="N81" s="5" t="s">
        <v>474</v>
      </c>
      <c r="O81" s="18">
        <v>86.986191841199997</v>
      </c>
      <c r="P81" s="13" t="str">
        <f t="shared" si="8"/>
        <v>Ver imagen</v>
      </c>
      <c r="R81"/>
      <c r="S81"/>
      <c r="T81"/>
      <c r="V81"/>
      <c r="W81"/>
      <c r="Y81"/>
      <c r="Z81"/>
      <c r="AA81"/>
      <c r="AB81"/>
      <c r="AC81"/>
      <c r="AE81"/>
      <c r="AF81"/>
      <c r="AG81"/>
      <c r="AH81"/>
      <c r="AI81"/>
      <c r="AR81"/>
      <c r="AS81"/>
    </row>
    <row r="82" spans="1:45" ht="39.6" x14ac:dyDescent="0.3">
      <c r="A82" s="17" t="s">
        <v>34</v>
      </c>
      <c r="B82" s="5" t="s">
        <v>35</v>
      </c>
      <c r="C82" s="4" t="s">
        <v>16</v>
      </c>
      <c r="D82" s="5" t="s">
        <v>17</v>
      </c>
      <c r="E82" s="4" t="s">
        <v>36</v>
      </c>
      <c r="F82" s="5" t="s">
        <v>37</v>
      </c>
      <c r="G82" s="4" t="s">
        <v>38</v>
      </c>
      <c r="H82" s="5" t="s">
        <v>39</v>
      </c>
      <c r="I82" s="4" t="s">
        <v>40</v>
      </c>
      <c r="J82" s="5" t="s">
        <v>41</v>
      </c>
      <c r="K82" s="4" t="s">
        <v>297</v>
      </c>
      <c r="L82" s="5" t="s">
        <v>298</v>
      </c>
      <c r="M82" s="5" t="s">
        <v>298</v>
      </c>
      <c r="N82" s="5" t="s">
        <v>475</v>
      </c>
      <c r="O82" s="18">
        <v>434.06904345800001</v>
      </c>
      <c r="P82" s="13" t="str">
        <f t="shared" si="8"/>
        <v>Ver imagen</v>
      </c>
      <c r="R82"/>
      <c r="S82"/>
      <c r="T82"/>
      <c r="V82"/>
      <c r="W82"/>
      <c r="Y82"/>
      <c r="Z82"/>
      <c r="AA82"/>
      <c r="AB82"/>
      <c r="AC82"/>
      <c r="AE82"/>
      <c r="AF82"/>
      <c r="AG82"/>
      <c r="AH82"/>
      <c r="AI82"/>
      <c r="AR82"/>
      <c r="AS82"/>
    </row>
    <row r="83" spans="1:45" ht="39.6" x14ac:dyDescent="0.3">
      <c r="A83" s="17" t="s">
        <v>72</v>
      </c>
      <c r="B83" s="5" t="s">
        <v>73</v>
      </c>
      <c r="C83" s="4" t="s">
        <v>16</v>
      </c>
      <c r="D83" s="5" t="s">
        <v>17</v>
      </c>
      <c r="E83" s="4" t="s">
        <v>18</v>
      </c>
      <c r="F83" s="5" t="s">
        <v>17</v>
      </c>
      <c r="G83" s="4" t="s">
        <v>51</v>
      </c>
      <c r="H83" s="5" t="s">
        <v>52</v>
      </c>
      <c r="I83" s="4" t="s">
        <v>177</v>
      </c>
      <c r="J83" s="5" t="s">
        <v>178</v>
      </c>
      <c r="K83" s="4" t="s">
        <v>299</v>
      </c>
      <c r="L83" s="5" t="s">
        <v>300</v>
      </c>
      <c r="M83" s="5" t="s">
        <v>300</v>
      </c>
      <c r="N83" s="5" t="s">
        <v>476</v>
      </c>
      <c r="O83" s="18">
        <v>75.432859726299995</v>
      </c>
      <c r="P83" s="13" t="str">
        <f t="shared" si="8"/>
        <v>Ver imagen</v>
      </c>
      <c r="R83"/>
      <c r="S83"/>
      <c r="T83"/>
      <c r="V83"/>
      <c r="W83"/>
      <c r="Y83"/>
      <c r="Z83"/>
      <c r="AA83"/>
      <c r="AB83"/>
      <c r="AC83"/>
      <c r="AE83"/>
      <c r="AF83"/>
      <c r="AG83"/>
      <c r="AH83"/>
      <c r="AI83"/>
      <c r="AR83"/>
      <c r="AS83"/>
    </row>
    <row r="84" spans="1:45" ht="39.6" x14ac:dyDescent="0.3">
      <c r="A84" s="17" t="s">
        <v>61</v>
      </c>
      <c r="B84" s="5" t="s">
        <v>62</v>
      </c>
      <c r="C84" s="4" t="s">
        <v>16</v>
      </c>
      <c r="D84" s="5" t="s">
        <v>17</v>
      </c>
      <c r="E84" s="4" t="s">
        <v>18</v>
      </c>
      <c r="F84" s="5" t="s">
        <v>17</v>
      </c>
      <c r="G84" s="4" t="s">
        <v>29</v>
      </c>
      <c r="H84" s="5" t="s">
        <v>17</v>
      </c>
      <c r="I84" s="4" t="s">
        <v>107</v>
      </c>
      <c r="J84" s="5" t="s">
        <v>108</v>
      </c>
      <c r="K84" s="4" t="s">
        <v>301</v>
      </c>
      <c r="L84" s="5" t="s">
        <v>302</v>
      </c>
      <c r="M84" s="5" t="s">
        <v>302</v>
      </c>
      <c r="N84" s="5" t="s">
        <v>477</v>
      </c>
      <c r="O84" s="18">
        <v>1220.1091745199999</v>
      </c>
      <c r="P84" s="13" t="str">
        <f t="shared" si="8"/>
        <v>Ver imagen</v>
      </c>
      <c r="R84"/>
      <c r="S84"/>
      <c r="T84"/>
      <c r="V84"/>
      <c r="W84"/>
      <c r="Y84"/>
      <c r="Z84"/>
      <c r="AA84"/>
      <c r="AB84"/>
      <c r="AC84"/>
      <c r="AE84"/>
      <c r="AF84"/>
      <c r="AG84"/>
      <c r="AH84"/>
      <c r="AI84"/>
      <c r="AR84"/>
      <c r="AS84"/>
    </row>
    <row r="85" spans="1:45" ht="39.6" x14ac:dyDescent="0.3">
      <c r="A85" s="17" t="s">
        <v>61</v>
      </c>
      <c r="B85" s="5" t="s">
        <v>62</v>
      </c>
      <c r="C85" s="4" t="s">
        <v>16</v>
      </c>
      <c r="D85" s="5" t="s">
        <v>17</v>
      </c>
      <c r="E85" s="4" t="s">
        <v>18</v>
      </c>
      <c r="F85" s="5" t="s">
        <v>17</v>
      </c>
      <c r="G85" s="4" t="s">
        <v>29</v>
      </c>
      <c r="H85" s="5" t="s">
        <v>17</v>
      </c>
      <c r="I85" s="4" t="s">
        <v>107</v>
      </c>
      <c r="J85" s="5" t="s">
        <v>108</v>
      </c>
      <c r="K85" s="4" t="s">
        <v>303</v>
      </c>
      <c r="L85" s="5" t="s">
        <v>304</v>
      </c>
      <c r="M85" s="5" t="s">
        <v>304</v>
      </c>
      <c r="N85" s="5" t="s">
        <v>478</v>
      </c>
      <c r="O85" s="18">
        <v>579.55984428900001</v>
      </c>
      <c r="P85" s="13" t="str">
        <f t="shared" si="8"/>
        <v>Ver imagen</v>
      </c>
      <c r="R85"/>
      <c r="S85"/>
      <c r="T85"/>
      <c r="V85"/>
      <c r="W85"/>
      <c r="Y85"/>
      <c r="Z85"/>
      <c r="AA85"/>
      <c r="AB85"/>
      <c r="AC85"/>
      <c r="AE85"/>
      <c r="AF85"/>
      <c r="AG85"/>
      <c r="AH85"/>
      <c r="AI85"/>
      <c r="AR85"/>
      <c r="AS85"/>
    </row>
    <row r="86" spans="1:45" ht="39.6" x14ac:dyDescent="0.3">
      <c r="A86" s="17" t="s">
        <v>61</v>
      </c>
      <c r="B86" s="5" t="s">
        <v>62</v>
      </c>
      <c r="C86" s="4" t="s">
        <v>16</v>
      </c>
      <c r="D86" s="5" t="s">
        <v>17</v>
      </c>
      <c r="E86" s="4" t="s">
        <v>18</v>
      </c>
      <c r="F86" s="5" t="s">
        <v>17</v>
      </c>
      <c r="G86" s="4" t="s">
        <v>29</v>
      </c>
      <c r="H86" s="5" t="s">
        <v>17</v>
      </c>
      <c r="I86" s="4" t="s">
        <v>107</v>
      </c>
      <c r="J86" s="5" t="s">
        <v>108</v>
      </c>
      <c r="K86" s="4" t="s">
        <v>305</v>
      </c>
      <c r="L86" s="5" t="s">
        <v>306</v>
      </c>
      <c r="M86" s="5" t="s">
        <v>306</v>
      </c>
      <c r="N86" s="5" t="s">
        <v>479</v>
      </c>
      <c r="O86" s="18">
        <v>369.58566246300001</v>
      </c>
      <c r="P86" s="13" t="str">
        <f t="shared" si="8"/>
        <v>Ver imagen</v>
      </c>
      <c r="R86"/>
      <c r="S86"/>
      <c r="T86"/>
      <c r="V86"/>
      <c r="W86"/>
      <c r="Y86"/>
      <c r="Z86"/>
      <c r="AA86"/>
      <c r="AB86"/>
      <c r="AC86"/>
      <c r="AE86"/>
      <c r="AF86"/>
      <c r="AG86"/>
      <c r="AH86"/>
      <c r="AI86"/>
      <c r="AR86"/>
      <c r="AS86"/>
    </row>
    <row r="87" spans="1:45" ht="39.6" x14ac:dyDescent="0.3">
      <c r="A87" s="17" t="s">
        <v>80</v>
      </c>
      <c r="B87" s="5" t="s">
        <v>81</v>
      </c>
      <c r="C87" s="4" t="s">
        <v>16</v>
      </c>
      <c r="D87" s="5" t="s">
        <v>17</v>
      </c>
      <c r="E87" s="4" t="s">
        <v>18</v>
      </c>
      <c r="F87" s="5" t="s">
        <v>17</v>
      </c>
      <c r="G87" s="4" t="s">
        <v>86</v>
      </c>
      <c r="H87" s="5" t="s">
        <v>87</v>
      </c>
      <c r="I87" s="4" t="s">
        <v>120</v>
      </c>
      <c r="J87" s="5" t="s">
        <v>121</v>
      </c>
      <c r="K87" s="4" t="s">
        <v>307</v>
      </c>
      <c r="L87" s="5" t="s">
        <v>308</v>
      </c>
      <c r="M87" s="5" t="s">
        <v>308</v>
      </c>
      <c r="N87" s="5" t="s">
        <v>480</v>
      </c>
      <c r="O87" s="18">
        <v>1966.84180735</v>
      </c>
      <c r="P87" s="13" t="str">
        <f t="shared" si="8"/>
        <v>Ver imagen</v>
      </c>
      <c r="R87"/>
      <c r="S87"/>
      <c r="T87"/>
      <c r="V87"/>
      <c r="W87"/>
      <c r="Y87"/>
      <c r="Z87"/>
      <c r="AA87"/>
      <c r="AB87"/>
      <c r="AC87"/>
      <c r="AE87"/>
      <c r="AF87"/>
      <c r="AG87"/>
      <c r="AH87"/>
      <c r="AI87"/>
      <c r="AR87"/>
      <c r="AS87"/>
    </row>
    <row r="88" spans="1:45" ht="39.6" x14ac:dyDescent="0.3">
      <c r="A88" s="17" t="s">
        <v>14</v>
      </c>
      <c r="B88" s="5" t="s">
        <v>15</v>
      </c>
      <c r="C88" s="4" t="s">
        <v>16</v>
      </c>
      <c r="D88" s="5" t="s">
        <v>17</v>
      </c>
      <c r="E88" s="4" t="s">
        <v>65</v>
      </c>
      <c r="F88" s="5" t="s">
        <v>66</v>
      </c>
      <c r="G88" s="4" t="s">
        <v>29</v>
      </c>
      <c r="H88" s="5" t="s">
        <v>17</v>
      </c>
      <c r="I88" s="4" t="s">
        <v>165</v>
      </c>
      <c r="J88" s="5" t="s">
        <v>166</v>
      </c>
      <c r="K88" s="4" t="s">
        <v>309</v>
      </c>
      <c r="L88" s="5" t="s">
        <v>310</v>
      </c>
      <c r="M88" s="5" t="s">
        <v>310</v>
      </c>
      <c r="N88" s="5" t="s">
        <v>481</v>
      </c>
      <c r="O88" s="18">
        <v>195.91096419499999</v>
      </c>
      <c r="P88" s="13" t="str">
        <f t="shared" si="8"/>
        <v>Ver imagen</v>
      </c>
      <c r="R88"/>
      <c r="S88"/>
      <c r="T88"/>
      <c r="V88"/>
      <c r="W88"/>
      <c r="Y88"/>
      <c r="Z88"/>
      <c r="AA88"/>
      <c r="AB88"/>
      <c r="AC88"/>
      <c r="AE88"/>
      <c r="AF88"/>
      <c r="AG88"/>
      <c r="AH88"/>
      <c r="AI88"/>
      <c r="AR88"/>
      <c r="AS88"/>
    </row>
    <row r="89" spans="1:45" ht="39.6" x14ac:dyDescent="0.3">
      <c r="A89" s="17" t="s">
        <v>34</v>
      </c>
      <c r="B89" s="5" t="s">
        <v>35</v>
      </c>
      <c r="C89" s="4" t="s">
        <v>16</v>
      </c>
      <c r="D89" s="5" t="s">
        <v>17</v>
      </c>
      <c r="E89" s="4" t="s">
        <v>18</v>
      </c>
      <c r="F89" s="5" t="s">
        <v>17</v>
      </c>
      <c r="G89" s="4" t="s">
        <v>68</v>
      </c>
      <c r="H89" s="5" t="s">
        <v>69</v>
      </c>
      <c r="I89" s="4" t="s">
        <v>131</v>
      </c>
      <c r="J89" s="5" t="s">
        <v>132</v>
      </c>
      <c r="K89" s="4" t="s">
        <v>311</v>
      </c>
      <c r="L89" s="5" t="s">
        <v>312</v>
      </c>
      <c r="M89" s="5" t="s">
        <v>312</v>
      </c>
      <c r="N89" s="5" t="s">
        <v>482</v>
      </c>
      <c r="O89" s="18">
        <v>265.76441608599998</v>
      </c>
      <c r="P89" s="13" t="str">
        <f t="shared" si="8"/>
        <v>Ver imagen</v>
      </c>
      <c r="R89"/>
      <c r="S89"/>
      <c r="T89"/>
      <c r="V89"/>
      <c r="W89"/>
      <c r="Y89"/>
      <c r="Z89"/>
      <c r="AA89"/>
      <c r="AB89"/>
      <c r="AC89"/>
      <c r="AE89"/>
      <c r="AF89"/>
      <c r="AG89"/>
      <c r="AH89"/>
      <c r="AI89"/>
      <c r="AR89"/>
      <c r="AS89"/>
    </row>
    <row r="90" spans="1:45" ht="39.6" x14ac:dyDescent="0.3">
      <c r="A90" s="17" t="s">
        <v>25</v>
      </c>
      <c r="B90" s="5" t="s">
        <v>26</v>
      </c>
      <c r="C90" s="4" t="s">
        <v>30</v>
      </c>
      <c r="D90" s="5" t="s">
        <v>32</v>
      </c>
      <c r="E90" s="4" t="s">
        <v>18</v>
      </c>
      <c r="F90" s="5" t="s">
        <v>17</v>
      </c>
      <c r="G90" s="4" t="s">
        <v>29</v>
      </c>
      <c r="H90" s="5" t="s">
        <v>17</v>
      </c>
      <c r="I90" s="4" t="s">
        <v>63</v>
      </c>
      <c r="J90" s="5" t="s">
        <v>64</v>
      </c>
      <c r="K90" s="4" t="s">
        <v>313</v>
      </c>
      <c r="L90" s="5" t="s">
        <v>314</v>
      </c>
      <c r="M90" s="5" t="s">
        <v>314</v>
      </c>
      <c r="N90" s="5" t="s">
        <v>483</v>
      </c>
      <c r="O90" s="18">
        <v>15.659282936</v>
      </c>
      <c r="P90" s="13" t="str">
        <f t="shared" si="8"/>
        <v>Ver imagen</v>
      </c>
      <c r="R90"/>
      <c r="S90"/>
      <c r="T90"/>
      <c r="V90"/>
      <c r="W90"/>
      <c r="Y90"/>
      <c r="Z90"/>
      <c r="AA90"/>
      <c r="AB90"/>
      <c r="AC90"/>
      <c r="AE90"/>
      <c r="AF90"/>
      <c r="AG90"/>
      <c r="AH90"/>
      <c r="AI90"/>
      <c r="AR90"/>
      <c r="AS90"/>
    </row>
    <row r="91" spans="1:45" ht="39.6" x14ac:dyDescent="0.3">
      <c r="A91" s="17" t="s">
        <v>72</v>
      </c>
      <c r="B91" s="5" t="s">
        <v>73</v>
      </c>
      <c r="C91" s="4" t="s">
        <v>16</v>
      </c>
      <c r="D91" s="5" t="s">
        <v>17</v>
      </c>
      <c r="E91" s="4" t="s">
        <v>18</v>
      </c>
      <c r="F91" s="5" t="s">
        <v>17</v>
      </c>
      <c r="G91" s="4" t="s">
        <v>99</v>
      </c>
      <c r="H91" s="5" t="s">
        <v>100</v>
      </c>
      <c r="I91" s="4" t="s">
        <v>167</v>
      </c>
      <c r="J91" s="5" t="s">
        <v>168</v>
      </c>
      <c r="K91" s="4" t="s">
        <v>315</v>
      </c>
      <c r="L91" s="5" t="s">
        <v>316</v>
      </c>
      <c r="M91" s="5" t="s">
        <v>316</v>
      </c>
      <c r="N91" s="5" t="s">
        <v>484</v>
      </c>
      <c r="O91" s="18">
        <v>288.23494197399998</v>
      </c>
      <c r="P91" s="13" t="str">
        <f t="shared" si="8"/>
        <v>Ver imagen</v>
      </c>
      <c r="R91"/>
      <c r="S91"/>
      <c r="T91"/>
      <c r="V91"/>
      <c r="W91"/>
      <c r="Y91"/>
      <c r="Z91"/>
      <c r="AA91"/>
      <c r="AB91"/>
      <c r="AC91"/>
      <c r="AE91"/>
      <c r="AF91"/>
      <c r="AG91"/>
      <c r="AH91"/>
      <c r="AI91"/>
      <c r="AR91"/>
      <c r="AS91"/>
    </row>
    <row r="92" spans="1:45" ht="39.6" x14ac:dyDescent="0.3">
      <c r="A92" s="17" t="s">
        <v>92</v>
      </c>
      <c r="B92" s="5" t="s">
        <v>93</v>
      </c>
      <c r="C92" s="4" t="s">
        <v>16</v>
      </c>
      <c r="D92" s="5" t="s">
        <v>17</v>
      </c>
      <c r="E92" s="4" t="s">
        <v>18</v>
      </c>
      <c r="F92" s="5" t="s">
        <v>17</v>
      </c>
      <c r="G92" s="4" t="s">
        <v>114</v>
      </c>
      <c r="H92" s="5" t="s">
        <v>115</v>
      </c>
      <c r="I92" s="4" t="s">
        <v>149</v>
      </c>
      <c r="J92" s="5" t="s">
        <v>150</v>
      </c>
      <c r="K92" s="4" t="s">
        <v>317</v>
      </c>
      <c r="L92" s="5" t="s">
        <v>318</v>
      </c>
      <c r="M92" s="5" t="s">
        <v>318</v>
      </c>
      <c r="N92" s="5" t="s">
        <v>485</v>
      </c>
      <c r="O92" s="18">
        <v>206.862429392</v>
      </c>
      <c r="P92" s="13" t="str">
        <f t="shared" si="8"/>
        <v>Ver imagen</v>
      </c>
      <c r="R92"/>
      <c r="S92"/>
      <c r="T92"/>
      <c r="V92"/>
      <c r="W92"/>
      <c r="Y92"/>
      <c r="Z92"/>
      <c r="AA92"/>
      <c r="AB92"/>
      <c r="AC92"/>
      <c r="AE92"/>
      <c r="AF92"/>
      <c r="AG92"/>
      <c r="AH92"/>
      <c r="AI92"/>
      <c r="AR92"/>
      <c r="AS92"/>
    </row>
    <row r="93" spans="1:45" ht="39.6" x14ac:dyDescent="0.3">
      <c r="A93" s="17" t="s">
        <v>14</v>
      </c>
      <c r="B93" s="5" t="s">
        <v>15</v>
      </c>
      <c r="C93" s="4" t="s">
        <v>16</v>
      </c>
      <c r="D93" s="5" t="s">
        <v>17</v>
      </c>
      <c r="E93" s="4" t="s">
        <v>18</v>
      </c>
      <c r="F93" s="5" t="s">
        <v>17</v>
      </c>
      <c r="G93" s="4" t="s">
        <v>55</v>
      </c>
      <c r="H93" s="5" t="s">
        <v>56</v>
      </c>
      <c r="I93" s="4" t="s">
        <v>57</v>
      </c>
      <c r="J93" s="5" t="s">
        <v>58</v>
      </c>
      <c r="K93" s="4" t="s">
        <v>319</v>
      </c>
      <c r="L93" s="5" t="s">
        <v>320</v>
      </c>
      <c r="M93" s="5" t="s">
        <v>320</v>
      </c>
      <c r="N93" s="5" t="s">
        <v>486</v>
      </c>
      <c r="O93" s="18">
        <v>716.91903398600004</v>
      </c>
      <c r="P93" s="13" t="str">
        <f t="shared" si="8"/>
        <v>Ver imagen</v>
      </c>
      <c r="R93"/>
      <c r="S93"/>
      <c r="T93"/>
      <c r="V93"/>
      <c r="W93"/>
      <c r="Y93"/>
      <c r="Z93"/>
      <c r="AA93"/>
      <c r="AB93"/>
      <c r="AC93"/>
      <c r="AE93"/>
      <c r="AF93"/>
      <c r="AG93"/>
      <c r="AH93"/>
      <c r="AI93"/>
      <c r="AR93"/>
      <c r="AS93"/>
    </row>
    <row r="94" spans="1:45" ht="39.6" x14ac:dyDescent="0.3">
      <c r="A94" s="17" t="s">
        <v>14</v>
      </c>
      <c r="B94" s="5" t="s">
        <v>15</v>
      </c>
      <c r="C94" s="4" t="s">
        <v>16</v>
      </c>
      <c r="D94" s="5" t="s">
        <v>17</v>
      </c>
      <c r="E94" s="4" t="s">
        <v>18</v>
      </c>
      <c r="F94" s="5" t="s">
        <v>17</v>
      </c>
      <c r="G94" s="4" t="s">
        <v>55</v>
      </c>
      <c r="H94" s="5" t="s">
        <v>56</v>
      </c>
      <c r="I94" s="4" t="s">
        <v>161</v>
      </c>
      <c r="J94" s="5" t="s">
        <v>162</v>
      </c>
      <c r="K94" s="4" t="s">
        <v>321</v>
      </c>
      <c r="L94" s="5" t="s">
        <v>322</v>
      </c>
      <c r="M94" s="5" t="s">
        <v>322</v>
      </c>
      <c r="N94" s="5" t="s">
        <v>487</v>
      </c>
      <c r="O94" s="18">
        <v>354.43552145400002</v>
      </c>
      <c r="P94" s="13" t="str">
        <f t="shared" si="8"/>
        <v>Ver imagen</v>
      </c>
      <c r="R94"/>
      <c r="S94"/>
      <c r="T94"/>
      <c r="V94"/>
      <c r="W94"/>
      <c r="Y94"/>
      <c r="Z94"/>
      <c r="AA94"/>
      <c r="AB94"/>
      <c r="AC94"/>
      <c r="AE94"/>
      <c r="AF94"/>
      <c r="AG94"/>
      <c r="AH94"/>
      <c r="AI94"/>
      <c r="AR94"/>
      <c r="AS94"/>
    </row>
    <row r="95" spans="1:45" ht="39.6" x14ac:dyDescent="0.3">
      <c r="A95" s="17" t="s">
        <v>34</v>
      </c>
      <c r="B95" s="5" t="s">
        <v>35</v>
      </c>
      <c r="C95" s="4" t="s">
        <v>16</v>
      </c>
      <c r="D95" s="5" t="s">
        <v>17</v>
      </c>
      <c r="E95" s="4" t="s">
        <v>36</v>
      </c>
      <c r="F95" s="5" t="s">
        <v>37</v>
      </c>
      <c r="G95" s="4" t="s">
        <v>68</v>
      </c>
      <c r="H95" s="5" t="s">
        <v>69</v>
      </c>
      <c r="I95" s="4" t="s">
        <v>131</v>
      </c>
      <c r="J95" s="5" t="s">
        <v>132</v>
      </c>
      <c r="K95" s="4" t="s">
        <v>323</v>
      </c>
      <c r="L95" s="5" t="s">
        <v>324</v>
      </c>
      <c r="M95" s="5" t="s">
        <v>324</v>
      </c>
      <c r="N95" s="5" t="s">
        <v>488</v>
      </c>
      <c r="O95" s="18">
        <v>161.26572003699999</v>
      </c>
      <c r="P95" s="13" t="str">
        <f t="shared" si="8"/>
        <v>Ver imagen</v>
      </c>
      <c r="R95"/>
      <c r="S95"/>
      <c r="T95"/>
      <c r="V95"/>
      <c r="W95"/>
      <c r="Y95"/>
      <c r="Z95"/>
      <c r="AA95"/>
      <c r="AB95"/>
      <c r="AC95"/>
      <c r="AE95"/>
      <c r="AF95"/>
      <c r="AG95"/>
      <c r="AH95"/>
      <c r="AI95"/>
      <c r="AR95"/>
      <c r="AS95"/>
    </row>
    <row r="96" spans="1:45" ht="39.6" x14ac:dyDescent="0.3">
      <c r="A96" s="17" t="s">
        <v>92</v>
      </c>
      <c r="B96" s="5" t="s">
        <v>93</v>
      </c>
      <c r="C96" s="4" t="s">
        <v>16</v>
      </c>
      <c r="D96" s="5" t="s">
        <v>17</v>
      </c>
      <c r="E96" s="4" t="s">
        <v>18</v>
      </c>
      <c r="F96" s="5" t="s">
        <v>17</v>
      </c>
      <c r="G96" s="4" t="s">
        <v>114</v>
      </c>
      <c r="H96" s="5" t="s">
        <v>115</v>
      </c>
      <c r="I96" s="4" t="s">
        <v>142</v>
      </c>
      <c r="J96" s="5" t="s">
        <v>143</v>
      </c>
      <c r="K96" s="4" t="s">
        <v>325</v>
      </c>
      <c r="L96" s="5" t="s">
        <v>326</v>
      </c>
      <c r="M96" s="5" t="s">
        <v>326</v>
      </c>
      <c r="N96" s="5" t="s">
        <v>489</v>
      </c>
      <c r="O96" s="18">
        <v>126.073583685</v>
      </c>
      <c r="P96" s="13" t="str">
        <f t="shared" si="8"/>
        <v>Ver imagen</v>
      </c>
      <c r="R96"/>
      <c r="S96"/>
      <c r="T96"/>
      <c r="V96"/>
      <c r="W96"/>
      <c r="Y96"/>
      <c r="Z96"/>
      <c r="AA96"/>
      <c r="AB96"/>
      <c r="AC96"/>
      <c r="AE96"/>
      <c r="AF96"/>
      <c r="AG96"/>
      <c r="AH96"/>
      <c r="AI96"/>
      <c r="AR96"/>
      <c r="AS96"/>
    </row>
    <row r="97" spans="1:45" ht="39.6" x14ac:dyDescent="0.3">
      <c r="A97" s="17" t="s">
        <v>127</v>
      </c>
      <c r="B97" s="5" t="s">
        <v>128</v>
      </c>
      <c r="C97" s="4" t="s">
        <v>16</v>
      </c>
      <c r="D97" s="5" t="s">
        <v>17</v>
      </c>
      <c r="E97" s="4" t="s">
        <v>96</v>
      </c>
      <c r="F97" s="5" t="s">
        <v>97</v>
      </c>
      <c r="G97" s="4" t="s">
        <v>29</v>
      </c>
      <c r="H97" s="5" t="s">
        <v>17</v>
      </c>
      <c r="I97" s="4" t="s">
        <v>146</v>
      </c>
      <c r="J97" s="5" t="s">
        <v>93</v>
      </c>
      <c r="K97" s="4" t="s">
        <v>327</v>
      </c>
      <c r="L97" s="5" t="s">
        <v>328</v>
      </c>
      <c r="M97" s="5" t="s">
        <v>328</v>
      </c>
      <c r="N97" s="5" t="s">
        <v>490</v>
      </c>
      <c r="O97" s="18">
        <v>252.03438434099999</v>
      </c>
      <c r="P97" s="13" t="str">
        <f t="shared" si="8"/>
        <v>Ver imagen</v>
      </c>
      <c r="R97"/>
      <c r="S97"/>
      <c r="T97"/>
      <c r="V97"/>
      <c r="W97"/>
      <c r="Y97"/>
      <c r="Z97"/>
      <c r="AA97"/>
      <c r="AB97"/>
      <c r="AC97"/>
      <c r="AE97"/>
      <c r="AF97"/>
      <c r="AG97"/>
      <c r="AH97"/>
      <c r="AI97"/>
      <c r="AR97"/>
      <c r="AS97"/>
    </row>
    <row r="98" spans="1:45" ht="39.6" x14ac:dyDescent="0.3">
      <c r="A98" s="17" t="s">
        <v>14</v>
      </c>
      <c r="B98" s="5" t="s">
        <v>15</v>
      </c>
      <c r="C98" s="4" t="s">
        <v>16</v>
      </c>
      <c r="D98" s="5" t="s">
        <v>17</v>
      </c>
      <c r="E98" s="4" t="s">
        <v>18</v>
      </c>
      <c r="F98" s="5" t="s">
        <v>17</v>
      </c>
      <c r="G98" s="4" t="s">
        <v>55</v>
      </c>
      <c r="H98" s="5" t="s">
        <v>56</v>
      </c>
      <c r="I98" s="4" t="s">
        <v>161</v>
      </c>
      <c r="J98" s="5" t="s">
        <v>162</v>
      </c>
      <c r="K98" s="4" t="s">
        <v>329</v>
      </c>
      <c r="L98" s="5" t="s">
        <v>330</v>
      </c>
      <c r="M98" s="5" t="s">
        <v>330</v>
      </c>
      <c r="N98" s="5" t="s">
        <v>491</v>
      </c>
      <c r="O98" s="18">
        <v>518.70147002099998</v>
      </c>
      <c r="P98" s="13" t="str">
        <f t="shared" si="8"/>
        <v>Ver imagen</v>
      </c>
      <c r="R98"/>
      <c r="S98"/>
      <c r="T98"/>
      <c r="V98"/>
      <c r="W98"/>
      <c r="Y98"/>
      <c r="Z98"/>
      <c r="AA98"/>
      <c r="AB98"/>
      <c r="AC98"/>
      <c r="AE98"/>
      <c r="AF98"/>
      <c r="AG98"/>
      <c r="AH98"/>
      <c r="AI98"/>
      <c r="AR98"/>
      <c r="AS98"/>
    </row>
    <row r="99" spans="1:45" ht="39.6" x14ac:dyDescent="0.3">
      <c r="A99" s="17" t="s">
        <v>92</v>
      </c>
      <c r="B99" s="5" t="s">
        <v>93</v>
      </c>
      <c r="C99" s="4" t="s">
        <v>16</v>
      </c>
      <c r="D99" s="5" t="s">
        <v>17</v>
      </c>
      <c r="E99" s="4" t="s">
        <v>18</v>
      </c>
      <c r="F99" s="5" t="s">
        <v>17</v>
      </c>
      <c r="G99" s="4" t="s">
        <v>135</v>
      </c>
      <c r="H99" s="5" t="s">
        <v>136</v>
      </c>
      <c r="I99" s="4" t="s">
        <v>142</v>
      </c>
      <c r="J99" s="5" t="s">
        <v>143</v>
      </c>
      <c r="K99" s="4" t="s">
        <v>331</v>
      </c>
      <c r="L99" s="5" t="s">
        <v>332</v>
      </c>
      <c r="M99" s="5" t="s">
        <v>332</v>
      </c>
      <c r="N99" s="5" t="s">
        <v>492</v>
      </c>
      <c r="O99" s="18">
        <v>220.923896195</v>
      </c>
      <c r="P99" s="13" t="str">
        <f t="shared" si="8"/>
        <v>Ver imagen</v>
      </c>
      <c r="R99"/>
      <c r="S99"/>
      <c r="T99"/>
      <c r="V99"/>
      <c r="W99"/>
      <c r="Y99"/>
      <c r="Z99"/>
      <c r="AA99"/>
      <c r="AB99"/>
      <c r="AC99"/>
      <c r="AE99"/>
      <c r="AF99"/>
      <c r="AG99"/>
      <c r="AH99"/>
      <c r="AI99"/>
      <c r="AR99"/>
      <c r="AS99"/>
    </row>
    <row r="100" spans="1:45" ht="39.6" x14ac:dyDescent="0.3">
      <c r="A100" s="17" t="s">
        <v>127</v>
      </c>
      <c r="B100" s="5" t="s">
        <v>128</v>
      </c>
      <c r="C100" s="4" t="s">
        <v>16</v>
      </c>
      <c r="D100" s="5" t="s">
        <v>17</v>
      </c>
      <c r="E100" s="4" t="s">
        <v>96</v>
      </c>
      <c r="F100" s="5" t="s">
        <v>97</v>
      </c>
      <c r="G100" s="4" t="s">
        <v>29</v>
      </c>
      <c r="H100" s="5" t="s">
        <v>17</v>
      </c>
      <c r="I100" s="4" t="s">
        <v>146</v>
      </c>
      <c r="J100" s="5" t="s">
        <v>93</v>
      </c>
      <c r="K100" s="4" t="s">
        <v>333</v>
      </c>
      <c r="L100" s="5" t="s">
        <v>334</v>
      </c>
      <c r="M100" s="5" t="s">
        <v>334</v>
      </c>
      <c r="N100" s="5" t="s">
        <v>493</v>
      </c>
      <c r="O100" s="18">
        <v>602.52559461700002</v>
      </c>
      <c r="P100" s="13" t="str">
        <f t="shared" si="8"/>
        <v>Ver imagen</v>
      </c>
      <c r="R100"/>
      <c r="S100"/>
      <c r="T100"/>
      <c r="V100"/>
      <c r="W100"/>
      <c r="Y100"/>
      <c r="Z100"/>
      <c r="AA100"/>
      <c r="AB100"/>
      <c r="AC100"/>
      <c r="AE100"/>
      <c r="AF100"/>
      <c r="AG100"/>
      <c r="AH100"/>
      <c r="AI100"/>
      <c r="AR100"/>
      <c r="AS100"/>
    </row>
    <row r="101" spans="1:45" ht="39.6" x14ac:dyDescent="0.3">
      <c r="A101" s="17" t="s">
        <v>14</v>
      </c>
      <c r="B101" s="5" t="s">
        <v>15</v>
      </c>
      <c r="C101" s="4" t="s">
        <v>16</v>
      </c>
      <c r="D101" s="5" t="s">
        <v>17</v>
      </c>
      <c r="E101" s="4" t="s">
        <v>18</v>
      </c>
      <c r="F101" s="5" t="s">
        <v>17</v>
      </c>
      <c r="G101" s="4" t="s">
        <v>55</v>
      </c>
      <c r="H101" s="5" t="s">
        <v>56</v>
      </c>
      <c r="I101" s="4" t="s">
        <v>57</v>
      </c>
      <c r="J101" s="5" t="s">
        <v>58</v>
      </c>
      <c r="K101" s="4" t="s">
        <v>335</v>
      </c>
      <c r="L101" s="5" t="s">
        <v>336</v>
      </c>
      <c r="M101" s="5" t="s">
        <v>336</v>
      </c>
      <c r="N101" s="5" t="s">
        <v>494</v>
      </c>
      <c r="O101" s="18">
        <v>363.92865835200001</v>
      </c>
      <c r="P101" s="13" t="str">
        <f t="shared" si="8"/>
        <v>Ver imagen</v>
      </c>
      <c r="R101"/>
      <c r="S101"/>
      <c r="T101"/>
      <c r="V101"/>
      <c r="W101"/>
      <c r="Y101"/>
      <c r="Z101"/>
      <c r="AA101"/>
      <c r="AB101"/>
      <c r="AC101"/>
      <c r="AE101"/>
      <c r="AF101"/>
      <c r="AG101"/>
      <c r="AH101"/>
      <c r="AI101"/>
      <c r="AR101"/>
      <c r="AS101"/>
    </row>
    <row r="102" spans="1:45" ht="39.6" x14ac:dyDescent="0.3">
      <c r="A102" s="17" t="s">
        <v>80</v>
      </c>
      <c r="B102" s="5" t="s">
        <v>81</v>
      </c>
      <c r="C102" s="4" t="s">
        <v>16</v>
      </c>
      <c r="D102" s="5" t="s">
        <v>17</v>
      </c>
      <c r="E102" s="4" t="s">
        <v>18</v>
      </c>
      <c r="F102" s="5" t="s">
        <v>17</v>
      </c>
      <c r="G102" s="4" t="s">
        <v>29</v>
      </c>
      <c r="H102" s="5" t="s">
        <v>17</v>
      </c>
      <c r="I102" s="4" t="s">
        <v>94</v>
      </c>
      <c r="J102" s="5" t="s">
        <v>95</v>
      </c>
      <c r="K102" s="4" t="s">
        <v>337</v>
      </c>
      <c r="L102" s="5" t="s">
        <v>338</v>
      </c>
      <c r="M102" s="5" t="s">
        <v>338</v>
      </c>
      <c r="N102" s="5" t="s">
        <v>495</v>
      </c>
      <c r="O102" s="18">
        <v>424.85489772099999</v>
      </c>
      <c r="P102" s="13" t="str">
        <f t="shared" si="8"/>
        <v>Ver imagen</v>
      </c>
      <c r="R102"/>
      <c r="S102"/>
      <c r="T102"/>
      <c r="V102"/>
      <c r="W102"/>
      <c r="Y102"/>
      <c r="Z102"/>
      <c r="AA102"/>
      <c r="AB102"/>
      <c r="AC102"/>
      <c r="AE102"/>
      <c r="AF102"/>
      <c r="AG102"/>
      <c r="AH102"/>
      <c r="AI102"/>
      <c r="AR102"/>
      <c r="AS102"/>
    </row>
    <row r="103" spans="1:45" ht="39.6" x14ac:dyDescent="0.3">
      <c r="A103" s="17" t="s">
        <v>14</v>
      </c>
      <c r="B103" s="5" t="s">
        <v>15</v>
      </c>
      <c r="C103" s="4" t="s">
        <v>16</v>
      </c>
      <c r="D103" s="5" t="s">
        <v>17</v>
      </c>
      <c r="E103" s="4" t="s">
        <v>18</v>
      </c>
      <c r="F103" s="5" t="s">
        <v>17</v>
      </c>
      <c r="G103" s="4" t="s">
        <v>55</v>
      </c>
      <c r="H103" s="5" t="s">
        <v>56</v>
      </c>
      <c r="I103" s="4" t="s">
        <v>165</v>
      </c>
      <c r="J103" s="5" t="s">
        <v>166</v>
      </c>
      <c r="K103" s="4" t="s">
        <v>339</v>
      </c>
      <c r="L103" s="5" t="s">
        <v>340</v>
      </c>
      <c r="M103" s="5" t="s">
        <v>340</v>
      </c>
      <c r="N103" s="5" t="s">
        <v>496</v>
      </c>
      <c r="O103" s="18">
        <v>230.491174298</v>
      </c>
      <c r="P103" s="13" t="str">
        <f t="shared" si="8"/>
        <v>Ver imagen</v>
      </c>
      <c r="R103"/>
      <c r="S103"/>
      <c r="T103"/>
      <c r="V103"/>
      <c r="W103"/>
      <c r="Y103"/>
      <c r="Z103"/>
      <c r="AA103"/>
      <c r="AB103"/>
      <c r="AC103"/>
      <c r="AE103"/>
      <c r="AF103"/>
      <c r="AG103"/>
      <c r="AH103"/>
      <c r="AI103"/>
      <c r="AR103"/>
      <c r="AS103"/>
    </row>
    <row r="104" spans="1:45" ht="39.6" x14ac:dyDescent="0.3">
      <c r="A104" s="17" t="s">
        <v>72</v>
      </c>
      <c r="B104" s="5" t="s">
        <v>73</v>
      </c>
      <c r="C104" s="4" t="s">
        <v>16</v>
      </c>
      <c r="D104" s="5" t="s">
        <v>17</v>
      </c>
      <c r="E104" s="4" t="s">
        <v>18</v>
      </c>
      <c r="F104" s="5" t="s">
        <v>17</v>
      </c>
      <c r="G104" s="4" t="s">
        <v>51</v>
      </c>
      <c r="H104" s="5" t="s">
        <v>52</v>
      </c>
      <c r="I104" s="4" t="s">
        <v>177</v>
      </c>
      <c r="J104" s="5" t="s">
        <v>178</v>
      </c>
      <c r="K104" s="4" t="s">
        <v>341</v>
      </c>
      <c r="L104" s="5" t="s">
        <v>342</v>
      </c>
      <c r="M104" s="5" t="s">
        <v>342</v>
      </c>
      <c r="N104" s="5" t="s">
        <v>497</v>
      </c>
      <c r="O104" s="18">
        <v>196.16974615699999</v>
      </c>
      <c r="P104" s="13" t="str">
        <f t="shared" si="8"/>
        <v>Ver imagen</v>
      </c>
      <c r="R104"/>
      <c r="S104"/>
      <c r="T104"/>
      <c r="V104"/>
      <c r="W104"/>
      <c r="Y104"/>
      <c r="Z104"/>
      <c r="AA104"/>
      <c r="AB104"/>
      <c r="AC104"/>
      <c r="AE104"/>
      <c r="AF104"/>
      <c r="AG104"/>
      <c r="AH104"/>
      <c r="AI104"/>
      <c r="AR104"/>
      <c r="AS104"/>
    </row>
    <row r="105" spans="1:45" ht="39.6" x14ac:dyDescent="0.3">
      <c r="A105" s="17" t="s">
        <v>34</v>
      </c>
      <c r="B105" s="5" t="s">
        <v>35</v>
      </c>
      <c r="C105" s="4" t="s">
        <v>16</v>
      </c>
      <c r="D105" s="5" t="s">
        <v>17</v>
      </c>
      <c r="E105" s="4" t="s">
        <v>18</v>
      </c>
      <c r="F105" s="5" t="s">
        <v>17</v>
      </c>
      <c r="G105" s="4" t="s">
        <v>68</v>
      </c>
      <c r="H105" s="5" t="s">
        <v>69</v>
      </c>
      <c r="I105" s="4" t="s">
        <v>131</v>
      </c>
      <c r="J105" s="5" t="s">
        <v>132</v>
      </c>
      <c r="K105" s="4" t="s">
        <v>343</v>
      </c>
      <c r="L105" s="5" t="s">
        <v>344</v>
      </c>
      <c r="M105" s="5" t="s">
        <v>344</v>
      </c>
      <c r="N105" s="5" t="s">
        <v>498</v>
      </c>
      <c r="O105" s="18">
        <v>525.58307838500002</v>
      </c>
      <c r="P105" s="13" t="str">
        <f t="shared" si="8"/>
        <v>Ver imagen</v>
      </c>
      <c r="R105"/>
      <c r="S105"/>
      <c r="T105"/>
      <c r="V105"/>
      <c r="W105"/>
      <c r="Y105"/>
      <c r="Z105"/>
      <c r="AA105"/>
      <c r="AB105"/>
      <c r="AC105"/>
      <c r="AE105"/>
      <c r="AF105"/>
      <c r="AG105"/>
      <c r="AH105"/>
      <c r="AI105"/>
      <c r="AR105"/>
      <c r="AS105"/>
    </row>
    <row r="106" spans="1:45" ht="39.6" x14ac:dyDescent="0.3">
      <c r="A106" s="17" t="s">
        <v>92</v>
      </c>
      <c r="B106" s="5" t="s">
        <v>93</v>
      </c>
      <c r="C106" s="4" t="s">
        <v>16</v>
      </c>
      <c r="D106" s="5" t="s">
        <v>17</v>
      </c>
      <c r="E106" s="4" t="s">
        <v>18</v>
      </c>
      <c r="F106" s="5" t="s">
        <v>17</v>
      </c>
      <c r="G106" s="4" t="s">
        <v>135</v>
      </c>
      <c r="H106" s="5" t="s">
        <v>136</v>
      </c>
      <c r="I106" s="4" t="s">
        <v>142</v>
      </c>
      <c r="J106" s="5" t="s">
        <v>143</v>
      </c>
      <c r="K106" s="4" t="s">
        <v>345</v>
      </c>
      <c r="L106" s="5" t="s">
        <v>346</v>
      </c>
      <c r="M106" s="5" t="s">
        <v>346</v>
      </c>
      <c r="N106" s="5" t="s">
        <v>499</v>
      </c>
      <c r="O106" s="18">
        <v>864.79042069399998</v>
      </c>
      <c r="P106" s="13" t="str">
        <f t="shared" si="8"/>
        <v>Ver imagen</v>
      </c>
      <c r="R106"/>
      <c r="S106"/>
      <c r="T106"/>
      <c r="V106"/>
      <c r="W106"/>
      <c r="Y106"/>
      <c r="Z106"/>
      <c r="AA106"/>
      <c r="AB106"/>
      <c r="AC106"/>
      <c r="AE106"/>
      <c r="AF106"/>
      <c r="AG106"/>
      <c r="AH106"/>
      <c r="AI106"/>
      <c r="AR106"/>
      <c r="AS106"/>
    </row>
    <row r="107" spans="1:45" ht="39.6" x14ac:dyDescent="0.3">
      <c r="A107" s="17" t="s">
        <v>80</v>
      </c>
      <c r="B107" s="5" t="s">
        <v>81</v>
      </c>
      <c r="C107" s="4" t="s">
        <v>16</v>
      </c>
      <c r="D107" s="5" t="s">
        <v>17</v>
      </c>
      <c r="E107" s="4" t="s">
        <v>18</v>
      </c>
      <c r="F107" s="5" t="s">
        <v>17</v>
      </c>
      <c r="G107" s="4" t="s">
        <v>29</v>
      </c>
      <c r="H107" s="5" t="s">
        <v>17</v>
      </c>
      <c r="I107" s="4" t="s">
        <v>94</v>
      </c>
      <c r="J107" s="5" t="s">
        <v>95</v>
      </c>
      <c r="K107" s="4" t="s">
        <v>347</v>
      </c>
      <c r="L107" s="5" t="s">
        <v>348</v>
      </c>
      <c r="M107" s="5" t="s">
        <v>348</v>
      </c>
      <c r="N107" s="5" t="s">
        <v>500</v>
      </c>
      <c r="O107" s="18">
        <v>265.99868322600003</v>
      </c>
      <c r="P107" s="13" t="str">
        <f t="shared" si="8"/>
        <v>Ver imagen</v>
      </c>
      <c r="R107"/>
      <c r="S107"/>
      <c r="T107"/>
      <c r="V107"/>
      <c r="W107"/>
      <c r="Y107"/>
      <c r="Z107"/>
      <c r="AA107"/>
      <c r="AB107"/>
      <c r="AC107"/>
      <c r="AE107"/>
      <c r="AF107"/>
      <c r="AG107"/>
      <c r="AH107"/>
      <c r="AI107"/>
      <c r="AR107"/>
      <c r="AS107"/>
    </row>
    <row r="108" spans="1:45" ht="39.6" x14ac:dyDescent="0.3">
      <c r="A108" s="17" t="s">
        <v>80</v>
      </c>
      <c r="B108" s="5" t="s">
        <v>81</v>
      </c>
      <c r="C108" s="4" t="s">
        <v>16</v>
      </c>
      <c r="D108" s="5" t="s">
        <v>17</v>
      </c>
      <c r="E108" s="4" t="s">
        <v>18</v>
      </c>
      <c r="F108" s="5" t="s">
        <v>17</v>
      </c>
      <c r="G108" s="4" t="s">
        <v>86</v>
      </c>
      <c r="H108" s="5" t="s">
        <v>87</v>
      </c>
      <c r="I108" s="4" t="s">
        <v>120</v>
      </c>
      <c r="J108" s="5" t="s">
        <v>121</v>
      </c>
      <c r="K108" s="4" t="s">
        <v>349</v>
      </c>
      <c r="L108" s="5" t="s">
        <v>350</v>
      </c>
      <c r="M108" s="5" t="s">
        <v>350</v>
      </c>
      <c r="N108" s="5" t="s">
        <v>501</v>
      </c>
      <c r="O108" s="18">
        <v>1133.7997372699999</v>
      </c>
      <c r="P108" s="13" t="str">
        <f t="shared" si="8"/>
        <v>Ver imagen</v>
      </c>
      <c r="R108"/>
      <c r="S108"/>
      <c r="T108"/>
      <c r="V108"/>
      <c r="W108"/>
      <c r="Y108"/>
      <c r="Z108"/>
      <c r="AA108"/>
      <c r="AB108"/>
      <c r="AC108"/>
      <c r="AE108"/>
      <c r="AF108"/>
      <c r="AG108"/>
      <c r="AH108"/>
      <c r="AI108"/>
      <c r="AR108"/>
      <c r="AS108"/>
    </row>
    <row r="109" spans="1:45" ht="39.6" x14ac:dyDescent="0.3">
      <c r="A109" s="17" t="s">
        <v>14</v>
      </c>
      <c r="B109" s="5" t="s">
        <v>15</v>
      </c>
      <c r="C109" s="4" t="s">
        <v>16</v>
      </c>
      <c r="D109" s="5" t="s">
        <v>17</v>
      </c>
      <c r="E109" s="4" t="s">
        <v>18</v>
      </c>
      <c r="F109" s="5" t="s">
        <v>17</v>
      </c>
      <c r="G109" s="4" t="s">
        <v>19</v>
      </c>
      <c r="H109" s="5" t="s">
        <v>20</v>
      </c>
      <c r="I109" s="4" t="s">
        <v>21</v>
      </c>
      <c r="J109" s="5" t="s">
        <v>22</v>
      </c>
      <c r="K109" s="4" t="s">
        <v>351</v>
      </c>
      <c r="L109" s="5" t="s">
        <v>352</v>
      </c>
      <c r="M109" s="5" t="s">
        <v>352</v>
      </c>
      <c r="N109" s="5" t="s">
        <v>502</v>
      </c>
      <c r="O109" s="18">
        <v>1346.42542357</v>
      </c>
      <c r="P109" s="13" t="str">
        <f t="shared" si="8"/>
        <v>Ver imagen</v>
      </c>
      <c r="R109"/>
      <c r="S109"/>
      <c r="T109"/>
      <c r="V109"/>
      <c r="W109"/>
      <c r="Y109"/>
      <c r="Z109"/>
      <c r="AA109"/>
      <c r="AB109"/>
      <c r="AC109"/>
      <c r="AE109"/>
      <c r="AF109"/>
      <c r="AG109"/>
      <c r="AH109"/>
      <c r="AI109"/>
      <c r="AR109"/>
      <c r="AS109"/>
    </row>
    <row r="110" spans="1:45" ht="39.6" x14ac:dyDescent="0.3">
      <c r="A110" s="17" t="s">
        <v>34</v>
      </c>
      <c r="B110" s="5" t="s">
        <v>35</v>
      </c>
      <c r="C110" s="4" t="s">
        <v>16</v>
      </c>
      <c r="D110" s="5" t="s">
        <v>17</v>
      </c>
      <c r="E110" s="4" t="s">
        <v>18</v>
      </c>
      <c r="F110" s="5" t="s">
        <v>17</v>
      </c>
      <c r="G110" s="4" t="s">
        <v>29</v>
      </c>
      <c r="H110" s="5" t="s">
        <v>17</v>
      </c>
      <c r="I110" s="4" t="s">
        <v>131</v>
      </c>
      <c r="J110" s="5" t="s">
        <v>132</v>
      </c>
      <c r="K110" s="4" t="s">
        <v>353</v>
      </c>
      <c r="L110" s="5" t="s">
        <v>354</v>
      </c>
      <c r="M110" s="5" t="s">
        <v>354</v>
      </c>
      <c r="N110" s="5" t="s">
        <v>503</v>
      </c>
      <c r="O110" s="18">
        <v>219.071913636</v>
      </c>
      <c r="P110" s="13" t="str">
        <f t="shared" si="8"/>
        <v>Ver imagen</v>
      </c>
      <c r="R110"/>
      <c r="S110"/>
      <c r="T110"/>
      <c r="V110"/>
      <c r="W110"/>
      <c r="Y110"/>
      <c r="Z110"/>
      <c r="AA110"/>
      <c r="AB110"/>
      <c r="AC110"/>
      <c r="AE110"/>
      <c r="AF110"/>
      <c r="AG110"/>
      <c r="AH110"/>
      <c r="AI110"/>
      <c r="AR110"/>
      <c r="AS110"/>
    </row>
    <row r="111" spans="1:45" ht="39.6" x14ac:dyDescent="0.3">
      <c r="A111" s="17" t="s">
        <v>72</v>
      </c>
      <c r="B111" s="5" t="s">
        <v>73</v>
      </c>
      <c r="C111" s="4" t="s">
        <v>16</v>
      </c>
      <c r="D111" s="5" t="s">
        <v>17</v>
      </c>
      <c r="E111" s="4" t="s">
        <v>18</v>
      </c>
      <c r="F111" s="5" t="s">
        <v>17</v>
      </c>
      <c r="G111" s="4" t="s">
        <v>51</v>
      </c>
      <c r="H111" s="5" t="s">
        <v>52</v>
      </c>
      <c r="I111" s="4" t="s">
        <v>177</v>
      </c>
      <c r="J111" s="5" t="s">
        <v>178</v>
      </c>
      <c r="K111" s="4" t="s">
        <v>355</v>
      </c>
      <c r="L111" s="5" t="s">
        <v>356</v>
      </c>
      <c r="M111" s="5" t="s">
        <v>356</v>
      </c>
      <c r="N111" s="5" t="s">
        <v>504</v>
      </c>
      <c r="O111" s="18">
        <v>252.239744186</v>
      </c>
      <c r="P111" s="13" t="str">
        <f t="shared" si="8"/>
        <v>Ver imagen</v>
      </c>
      <c r="R111"/>
      <c r="S111"/>
      <c r="T111"/>
      <c r="V111"/>
      <c r="W111"/>
      <c r="Y111"/>
      <c r="Z111"/>
      <c r="AA111"/>
      <c r="AB111"/>
      <c r="AC111"/>
      <c r="AE111"/>
      <c r="AF111"/>
      <c r="AG111"/>
      <c r="AH111"/>
      <c r="AI111"/>
      <c r="AR111"/>
      <c r="AS111"/>
    </row>
    <row r="112" spans="1:45" ht="39.6" x14ac:dyDescent="0.3">
      <c r="A112" s="17" t="s">
        <v>44</v>
      </c>
      <c r="B112" s="5" t="s">
        <v>45</v>
      </c>
      <c r="C112" s="4" t="s">
        <v>16</v>
      </c>
      <c r="D112" s="5" t="s">
        <v>17</v>
      </c>
      <c r="E112" s="4" t="s">
        <v>48</v>
      </c>
      <c r="F112" s="5" t="s">
        <v>49</v>
      </c>
      <c r="G112" s="4" t="s">
        <v>29</v>
      </c>
      <c r="H112" s="5" t="s">
        <v>17</v>
      </c>
      <c r="I112" s="4" t="s">
        <v>82</v>
      </c>
      <c r="J112" s="5" t="s">
        <v>45</v>
      </c>
      <c r="K112" s="4" t="s">
        <v>357</v>
      </c>
      <c r="L112" s="5" t="s">
        <v>358</v>
      </c>
      <c r="M112" s="5" t="s">
        <v>358</v>
      </c>
      <c r="N112" s="5" t="s">
        <v>505</v>
      </c>
      <c r="O112" s="18">
        <v>1149.05383439</v>
      </c>
      <c r="P112" s="13" t="str">
        <f t="shared" si="8"/>
        <v>Ver imagen</v>
      </c>
      <c r="R112"/>
      <c r="S112"/>
      <c r="T112"/>
      <c r="V112"/>
      <c r="W112"/>
      <c r="Y112"/>
      <c r="Z112"/>
      <c r="AA112"/>
      <c r="AB112"/>
      <c r="AC112"/>
      <c r="AE112"/>
      <c r="AF112"/>
      <c r="AG112"/>
      <c r="AH112"/>
      <c r="AI112"/>
      <c r="AR112"/>
      <c r="AS112"/>
    </row>
    <row r="113" spans="1:45" ht="39.6" x14ac:dyDescent="0.3">
      <c r="A113" s="17" t="s">
        <v>72</v>
      </c>
      <c r="B113" s="5" t="s">
        <v>73</v>
      </c>
      <c r="C113" s="4" t="s">
        <v>16</v>
      </c>
      <c r="D113" s="5" t="s">
        <v>17</v>
      </c>
      <c r="E113" s="4" t="s">
        <v>18</v>
      </c>
      <c r="F113" s="5" t="s">
        <v>17</v>
      </c>
      <c r="G113" s="4" t="s">
        <v>51</v>
      </c>
      <c r="H113" s="5" t="s">
        <v>52</v>
      </c>
      <c r="I113" s="4" t="s">
        <v>177</v>
      </c>
      <c r="J113" s="5" t="s">
        <v>178</v>
      </c>
      <c r="K113" s="4" t="s">
        <v>359</v>
      </c>
      <c r="L113" s="5" t="s">
        <v>360</v>
      </c>
      <c r="M113" s="5" t="s">
        <v>360</v>
      </c>
      <c r="N113" s="5" t="s">
        <v>506</v>
      </c>
      <c r="O113" s="18">
        <v>120.47906216600001</v>
      </c>
      <c r="P113" s="13" t="str">
        <f t="shared" si="8"/>
        <v>Ver imagen</v>
      </c>
      <c r="R113"/>
      <c r="S113"/>
      <c r="T113"/>
      <c r="V113"/>
      <c r="W113"/>
      <c r="Y113"/>
      <c r="Z113"/>
      <c r="AA113"/>
      <c r="AB113"/>
      <c r="AC113"/>
      <c r="AE113"/>
      <c r="AF113"/>
      <c r="AG113"/>
      <c r="AH113"/>
      <c r="AI113"/>
      <c r="AR113"/>
      <c r="AS113"/>
    </row>
    <row r="114" spans="1:45" ht="39.6" x14ac:dyDescent="0.3">
      <c r="A114" s="17" t="s">
        <v>72</v>
      </c>
      <c r="B114" s="5" t="s">
        <v>73</v>
      </c>
      <c r="C114" s="4" t="s">
        <v>16</v>
      </c>
      <c r="D114" s="5" t="s">
        <v>17</v>
      </c>
      <c r="E114" s="4" t="s">
        <v>18</v>
      </c>
      <c r="F114" s="5" t="s">
        <v>17</v>
      </c>
      <c r="G114" s="4" t="s">
        <v>74</v>
      </c>
      <c r="H114" s="5" t="s">
        <v>75</v>
      </c>
      <c r="I114" s="4" t="s">
        <v>76</v>
      </c>
      <c r="J114" s="5" t="s">
        <v>77</v>
      </c>
      <c r="K114" s="4" t="s">
        <v>361</v>
      </c>
      <c r="L114" s="5" t="s">
        <v>362</v>
      </c>
      <c r="M114" s="5" t="s">
        <v>362</v>
      </c>
      <c r="N114" s="5" t="s">
        <v>507</v>
      </c>
      <c r="O114" s="18">
        <v>140.345788067</v>
      </c>
      <c r="P114" s="13" t="str">
        <f t="shared" si="8"/>
        <v>Ver imagen</v>
      </c>
      <c r="R114"/>
      <c r="S114"/>
      <c r="T114"/>
      <c r="V114"/>
      <c r="W114"/>
      <c r="Y114"/>
      <c r="Z114"/>
      <c r="AA114"/>
      <c r="AB114"/>
      <c r="AC114"/>
      <c r="AE114"/>
      <c r="AF114"/>
      <c r="AG114"/>
      <c r="AH114"/>
      <c r="AI114"/>
      <c r="AR114"/>
      <c r="AS114"/>
    </row>
    <row r="115" spans="1:45" ht="39.6" x14ac:dyDescent="0.3">
      <c r="A115" s="17" t="s">
        <v>92</v>
      </c>
      <c r="B115" s="5" t="s">
        <v>93</v>
      </c>
      <c r="C115" s="4" t="s">
        <v>16</v>
      </c>
      <c r="D115" s="5" t="s">
        <v>17</v>
      </c>
      <c r="E115" s="4" t="s">
        <v>18</v>
      </c>
      <c r="F115" s="5" t="s">
        <v>17</v>
      </c>
      <c r="G115" s="4" t="s">
        <v>114</v>
      </c>
      <c r="H115" s="5" t="s">
        <v>115</v>
      </c>
      <c r="I115" s="4" t="s">
        <v>149</v>
      </c>
      <c r="J115" s="5" t="s">
        <v>150</v>
      </c>
      <c r="K115" s="4" t="s">
        <v>363</v>
      </c>
      <c r="L115" s="5" t="s">
        <v>364</v>
      </c>
      <c r="M115" s="5" t="s">
        <v>364</v>
      </c>
      <c r="N115" s="5" t="s">
        <v>508</v>
      </c>
      <c r="O115" s="18">
        <v>134.44259809900001</v>
      </c>
      <c r="P115" s="13" t="str">
        <f t="shared" si="8"/>
        <v>Ver imagen</v>
      </c>
      <c r="R115"/>
      <c r="S115"/>
      <c r="T115"/>
      <c r="V115"/>
      <c r="W115"/>
      <c r="Y115"/>
      <c r="Z115"/>
      <c r="AA115"/>
      <c r="AB115"/>
      <c r="AC115"/>
      <c r="AE115"/>
      <c r="AF115"/>
      <c r="AG115"/>
      <c r="AH115"/>
      <c r="AI115"/>
      <c r="AR115"/>
      <c r="AS115"/>
    </row>
    <row r="116" spans="1:45" ht="39.6" x14ac:dyDescent="0.3">
      <c r="A116" s="17" t="s">
        <v>34</v>
      </c>
      <c r="B116" s="5" t="s">
        <v>35</v>
      </c>
      <c r="C116" s="4" t="s">
        <v>16</v>
      </c>
      <c r="D116" s="5" t="s">
        <v>17</v>
      </c>
      <c r="E116" s="4" t="s">
        <v>36</v>
      </c>
      <c r="F116" s="5" t="s">
        <v>37</v>
      </c>
      <c r="G116" s="4" t="s">
        <v>38</v>
      </c>
      <c r="H116" s="5" t="s">
        <v>39</v>
      </c>
      <c r="I116" s="4" t="s">
        <v>40</v>
      </c>
      <c r="J116" s="5" t="s">
        <v>41</v>
      </c>
      <c r="K116" s="4" t="s">
        <v>365</v>
      </c>
      <c r="L116" s="5" t="s">
        <v>366</v>
      </c>
      <c r="M116" s="5" t="s">
        <v>366</v>
      </c>
      <c r="N116" s="5" t="s">
        <v>509</v>
      </c>
      <c r="O116" s="18">
        <v>265.92924344699998</v>
      </c>
      <c r="P116" s="13" t="str">
        <f t="shared" si="8"/>
        <v>Ver imagen</v>
      </c>
      <c r="R116"/>
      <c r="S116"/>
      <c r="T116"/>
      <c r="V116"/>
      <c r="W116"/>
      <c r="Y116"/>
      <c r="Z116"/>
      <c r="AA116"/>
      <c r="AB116"/>
      <c r="AC116"/>
      <c r="AE116"/>
      <c r="AF116"/>
      <c r="AG116"/>
      <c r="AH116"/>
      <c r="AI116"/>
      <c r="AR116"/>
      <c r="AS116"/>
    </row>
    <row r="117" spans="1:45" ht="39.6" x14ac:dyDescent="0.3">
      <c r="A117" s="17" t="s">
        <v>72</v>
      </c>
      <c r="B117" s="5" t="s">
        <v>73</v>
      </c>
      <c r="C117" s="4" t="s">
        <v>16</v>
      </c>
      <c r="D117" s="5" t="s">
        <v>17</v>
      </c>
      <c r="E117" s="4" t="s">
        <v>18</v>
      </c>
      <c r="F117" s="5" t="s">
        <v>17</v>
      </c>
      <c r="G117" s="4" t="s">
        <v>74</v>
      </c>
      <c r="H117" s="5" t="s">
        <v>75</v>
      </c>
      <c r="I117" s="4" t="s">
        <v>167</v>
      </c>
      <c r="J117" s="5" t="s">
        <v>168</v>
      </c>
      <c r="K117" s="4" t="s">
        <v>367</v>
      </c>
      <c r="L117" s="5" t="s">
        <v>368</v>
      </c>
      <c r="M117" s="5" t="s">
        <v>368</v>
      </c>
      <c r="N117" s="5" t="s">
        <v>510</v>
      </c>
      <c r="O117" s="18">
        <v>2563.3972272699998</v>
      </c>
      <c r="P117" s="13" t="str">
        <f t="shared" si="8"/>
        <v>Ver imagen</v>
      </c>
      <c r="R117"/>
      <c r="S117"/>
      <c r="T117"/>
      <c r="V117"/>
      <c r="W117"/>
      <c r="Y117"/>
      <c r="Z117"/>
      <c r="AA117"/>
      <c r="AB117"/>
      <c r="AC117"/>
      <c r="AE117"/>
      <c r="AF117"/>
      <c r="AG117"/>
      <c r="AH117"/>
      <c r="AI117"/>
      <c r="AR117"/>
      <c r="AS117"/>
    </row>
    <row r="118" spans="1:45" ht="39.6" x14ac:dyDescent="0.3">
      <c r="A118" s="17" t="s">
        <v>92</v>
      </c>
      <c r="B118" s="5" t="s">
        <v>93</v>
      </c>
      <c r="C118" s="4" t="s">
        <v>16</v>
      </c>
      <c r="D118" s="5" t="s">
        <v>17</v>
      </c>
      <c r="E118" s="4" t="s">
        <v>18</v>
      </c>
      <c r="F118" s="5" t="s">
        <v>17</v>
      </c>
      <c r="G118" s="4" t="s">
        <v>114</v>
      </c>
      <c r="H118" s="5" t="s">
        <v>115</v>
      </c>
      <c r="I118" s="4" t="s">
        <v>116</v>
      </c>
      <c r="J118" s="5" t="s">
        <v>117</v>
      </c>
      <c r="K118" s="4" t="s">
        <v>369</v>
      </c>
      <c r="L118" s="5" t="s">
        <v>370</v>
      </c>
      <c r="M118" s="5" t="s">
        <v>370</v>
      </c>
      <c r="N118" s="5" t="s">
        <v>511</v>
      </c>
      <c r="O118" s="18">
        <v>567.70263553799998</v>
      </c>
      <c r="P118" s="13" t="str">
        <f t="shared" si="8"/>
        <v>Ver imagen</v>
      </c>
      <c r="R118"/>
      <c r="S118"/>
      <c r="T118"/>
      <c r="V118"/>
      <c r="W118"/>
      <c r="Y118"/>
      <c r="Z118"/>
      <c r="AA118"/>
      <c r="AB118"/>
      <c r="AC118"/>
      <c r="AE118"/>
      <c r="AF118"/>
      <c r="AG118"/>
      <c r="AH118"/>
      <c r="AI118"/>
      <c r="AR118"/>
      <c r="AS118"/>
    </row>
    <row r="119" spans="1:45" ht="39.6" x14ac:dyDescent="0.3">
      <c r="A119" s="17" t="s">
        <v>72</v>
      </c>
      <c r="B119" s="5" t="s">
        <v>73</v>
      </c>
      <c r="C119" s="4" t="s">
        <v>16</v>
      </c>
      <c r="D119" s="5" t="s">
        <v>17</v>
      </c>
      <c r="E119" s="4" t="s">
        <v>18</v>
      </c>
      <c r="F119" s="5" t="s">
        <v>17</v>
      </c>
      <c r="G119" s="4" t="s">
        <v>51</v>
      </c>
      <c r="H119" s="5" t="s">
        <v>52</v>
      </c>
      <c r="I119" s="4" t="s">
        <v>177</v>
      </c>
      <c r="J119" s="5" t="s">
        <v>178</v>
      </c>
      <c r="K119" s="4" t="s">
        <v>371</v>
      </c>
      <c r="L119" s="5" t="s">
        <v>372</v>
      </c>
      <c r="M119" s="5" t="s">
        <v>372</v>
      </c>
      <c r="N119" s="5" t="s">
        <v>512</v>
      </c>
      <c r="O119" s="18">
        <v>126.195338709</v>
      </c>
      <c r="P119" s="13" t="str">
        <f t="shared" si="8"/>
        <v>Ver imagen</v>
      </c>
      <c r="R119"/>
      <c r="S119"/>
      <c r="T119"/>
      <c r="V119"/>
      <c r="W119"/>
      <c r="Y119"/>
      <c r="Z119"/>
      <c r="AA119"/>
      <c r="AB119"/>
      <c r="AC119"/>
      <c r="AE119"/>
      <c r="AF119"/>
      <c r="AG119"/>
      <c r="AH119"/>
      <c r="AI119"/>
      <c r="AR119"/>
      <c r="AS119"/>
    </row>
    <row r="120" spans="1:45" ht="39.6" x14ac:dyDescent="0.3">
      <c r="A120" s="17" t="s">
        <v>80</v>
      </c>
      <c r="B120" s="5" t="s">
        <v>81</v>
      </c>
      <c r="C120" s="4" t="s">
        <v>16</v>
      </c>
      <c r="D120" s="5" t="s">
        <v>17</v>
      </c>
      <c r="E120" s="4" t="s">
        <v>18</v>
      </c>
      <c r="F120" s="5" t="s">
        <v>17</v>
      </c>
      <c r="G120" s="4" t="s">
        <v>86</v>
      </c>
      <c r="H120" s="5" t="s">
        <v>87</v>
      </c>
      <c r="I120" s="4" t="s">
        <v>88</v>
      </c>
      <c r="J120" s="5" t="s">
        <v>89</v>
      </c>
      <c r="K120" s="4" t="s">
        <v>373</v>
      </c>
      <c r="L120" s="5" t="s">
        <v>374</v>
      </c>
      <c r="M120" s="5" t="s">
        <v>374</v>
      </c>
      <c r="N120" s="5" t="s">
        <v>513</v>
      </c>
      <c r="O120" s="18">
        <v>540.81498793599997</v>
      </c>
      <c r="P120" s="13" t="str">
        <f t="shared" si="8"/>
        <v>Ver imagen</v>
      </c>
      <c r="R120"/>
      <c r="S120"/>
      <c r="T120"/>
      <c r="V120"/>
      <c r="W120"/>
      <c r="Y120"/>
      <c r="Z120"/>
      <c r="AA120"/>
      <c r="AB120"/>
      <c r="AC120"/>
      <c r="AE120"/>
      <c r="AF120"/>
      <c r="AG120"/>
      <c r="AH120"/>
      <c r="AI120"/>
      <c r="AR120"/>
      <c r="AS120"/>
    </row>
    <row r="121" spans="1:45" ht="39.6" x14ac:dyDescent="0.3">
      <c r="A121" s="17" t="s">
        <v>72</v>
      </c>
      <c r="B121" s="5" t="s">
        <v>73</v>
      </c>
      <c r="C121" s="4" t="s">
        <v>16</v>
      </c>
      <c r="D121" s="5" t="s">
        <v>17</v>
      </c>
      <c r="E121" s="4" t="s">
        <v>18</v>
      </c>
      <c r="F121" s="5" t="s">
        <v>17</v>
      </c>
      <c r="G121" s="4" t="s">
        <v>51</v>
      </c>
      <c r="H121" s="5" t="s">
        <v>52</v>
      </c>
      <c r="I121" s="4" t="s">
        <v>76</v>
      </c>
      <c r="J121" s="5" t="s">
        <v>77</v>
      </c>
      <c r="K121" s="4" t="s">
        <v>375</v>
      </c>
      <c r="L121" s="5" t="s">
        <v>376</v>
      </c>
      <c r="M121" s="5" t="s">
        <v>376</v>
      </c>
      <c r="N121" s="5" t="s">
        <v>514</v>
      </c>
      <c r="O121" s="18">
        <v>143.64602175100001</v>
      </c>
      <c r="P121" s="13" t="str">
        <f t="shared" si="8"/>
        <v>Ver imagen</v>
      </c>
      <c r="R121"/>
      <c r="S121"/>
      <c r="T121"/>
      <c r="V121"/>
      <c r="W121"/>
      <c r="Y121"/>
      <c r="Z121"/>
      <c r="AA121"/>
      <c r="AB121"/>
      <c r="AC121"/>
      <c r="AE121"/>
      <c r="AF121"/>
      <c r="AG121"/>
      <c r="AH121"/>
      <c r="AI121"/>
      <c r="AR121"/>
      <c r="AS121"/>
    </row>
    <row r="122" spans="1:45" ht="39.6" x14ac:dyDescent="0.3">
      <c r="A122" s="17" t="s">
        <v>127</v>
      </c>
      <c r="B122" s="5" t="s">
        <v>128</v>
      </c>
      <c r="C122" s="4" t="s">
        <v>16</v>
      </c>
      <c r="D122" s="5" t="s">
        <v>17</v>
      </c>
      <c r="E122" s="4" t="s">
        <v>96</v>
      </c>
      <c r="F122" s="5" t="s">
        <v>97</v>
      </c>
      <c r="G122" s="4" t="s">
        <v>29</v>
      </c>
      <c r="H122" s="5" t="s">
        <v>17</v>
      </c>
      <c r="I122" s="4" t="s">
        <v>185</v>
      </c>
      <c r="J122" s="5" t="s">
        <v>186</v>
      </c>
      <c r="K122" s="4" t="s">
        <v>377</v>
      </c>
      <c r="L122" s="5" t="s">
        <v>378</v>
      </c>
      <c r="M122" s="5" t="s">
        <v>378</v>
      </c>
      <c r="N122" s="5" t="s">
        <v>515</v>
      </c>
      <c r="O122" s="18">
        <v>1661.93586082</v>
      </c>
      <c r="P122" s="13" t="str">
        <f t="shared" si="8"/>
        <v>Ver imagen</v>
      </c>
      <c r="R122"/>
      <c r="S122"/>
      <c r="T122"/>
      <c r="V122"/>
      <c r="W122"/>
      <c r="Y122"/>
      <c r="Z122"/>
      <c r="AA122"/>
      <c r="AB122"/>
      <c r="AC122"/>
      <c r="AE122"/>
      <c r="AF122"/>
      <c r="AG122"/>
      <c r="AH122"/>
      <c r="AI122"/>
      <c r="AR122"/>
      <c r="AS122"/>
    </row>
    <row r="123" spans="1:45" ht="39.6" x14ac:dyDescent="0.3">
      <c r="A123" s="17" t="s">
        <v>80</v>
      </c>
      <c r="B123" s="5" t="s">
        <v>81</v>
      </c>
      <c r="C123" s="4" t="s">
        <v>16</v>
      </c>
      <c r="D123" s="5" t="s">
        <v>17</v>
      </c>
      <c r="E123" s="4" t="s">
        <v>18</v>
      </c>
      <c r="F123" s="5" t="s">
        <v>17</v>
      </c>
      <c r="G123" s="4" t="s">
        <v>86</v>
      </c>
      <c r="H123" s="5" t="s">
        <v>87</v>
      </c>
      <c r="I123" s="4" t="s">
        <v>88</v>
      </c>
      <c r="J123" s="5" t="s">
        <v>89</v>
      </c>
      <c r="K123" s="4" t="s">
        <v>379</v>
      </c>
      <c r="L123" s="5" t="s">
        <v>380</v>
      </c>
      <c r="M123" s="5" t="s">
        <v>380</v>
      </c>
      <c r="N123" s="5" t="s">
        <v>516</v>
      </c>
      <c r="O123" s="18">
        <v>440.856387574</v>
      </c>
      <c r="P123" s="13" t="str">
        <f t="shared" si="8"/>
        <v>Ver imagen</v>
      </c>
      <c r="R123"/>
      <c r="S123"/>
      <c r="T123"/>
      <c r="V123"/>
      <c r="W123"/>
      <c r="Y123"/>
      <c r="Z123"/>
      <c r="AA123"/>
      <c r="AB123"/>
      <c r="AC123"/>
      <c r="AE123"/>
      <c r="AF123"/>
      <c r="AG123"/>
      <c r="AH123"/>
      <c r="AI123"/>
      <c r="AR123"/>
      <c r="AS123"/>
    </row>
    <row r="124" spans="1:45" ht="39.6" x14ac:dyDescent="0.3">
      <c r="A124" s="17" t="s">
        <v>92</v>
      </c>
      <c r="B124" s="5" t="s">
        <v>93</v>
      </c>
      <c r="C124" s="4" t="s">
        <v>16</v>
      </c>
      <c r="D124" s="5" t="s">
        <v>17</v>
      </c>
      <c r="E124" s="4" t="s">
        <v>18</v>
      </c>
      <c r="F124" s="5" t="s">
        <v>17</v>
      </c>
      <c r="G124" s="4" t="s">
        <v>114</v>
      </c>
      <c r="H124" s="5" t="s">
        <v>115</v>
      </c>
      <c r="I124" s="4" t="s">
        <v>116</v>
      </c>
      <c r="J124" s="5" t="s">
        <v>117</v>
      </c>
      <c r="K124" s="4" t="s">
        <v>381</v>
      </c>
      <c r="L124" s="5" t="s">
        <v>382</v>
      </c>
      <c r="M124" s="5" t="s">
        <v>382</v>
      </c>
      <c r="N124" s="5" t="s">
        <v>517</v>
      </c>
      <c r="O124" s="18">
        <v>712.57203676500001</v>
      </c>
      <c r="P124" s="13" t="str">
        <f t="shared" si="8"/>
        <v>Ver imagen</v>
      </c>
      <c r="R124"/>
      <c r="S124"/>
      <c r="T124"/>
      <c r="V124"/>
      <c r="W124"/>
      <c r="Y124"/>
      <c r="Z124"/>
      <c r="AA124"/>
      <c r="AB124"/>
      <c r="AC124"/>
      <c r="AE124"/>
      <c r="AF124"/>
      <c r="AG124"/>
      <c r="AH124"/>
      <c r="AI124"/>
      <c r="AR124"/>
      <c r="AS124"/>
    </row>
    <row r="125" spans="1:45" ht="39.6" x14ac:dyDescent="0.3">
      <c r="A125" s="17" t="s">
        <v>80</v>
      </c>
      <c r="B125" s="5" t="s">
        <v>81</v>
      </c>
      <c r="C125" s="4" t="s">
        <v>16</v>
      </c>
      <c r="D125" s="5" t="s">
        <v>17</v>
      </c>
      <c r="E125" s="4" t="s">
        <v>18</v>
      </c>
      <c r="F125" s="5" t="s">
        <v>17</v>
      </c>
      <c r="G125" s="4" t="s">
        <v>86</v>
      </c>
      <c r="H125" s="5" t="s">
        <v>87</v>
      </c>
      <c r="I125" s="4" t="s">
        <v>88</v>
      </c>
      <c r="J125" s="5" t="s">
        <v>89</v>
      </c>
      <c r="K125" s="4" t="s">
        <v>383</v>
      </c>
      <c r="L125" s="5" t="s">
        <v>384</v>
      </c>
      <c r="M125" s="5" t="s">
        <v>384</v>
      </c>
      <c r="N125" s="5" t="s">
        <v>518</v>
      </c>
      <c r="O125" s="18">
        <v>943.97208270099998</v>
      </c>
      <c r="P125" s="13" t="str">
        <f t="shared" si="8"/>
        <v>Ver imagen</v>
      </c>
      <c r="R125"/>
      <c r="S125"/>
      <c r="T125"/>
      <c r="V125"/>
      <c r="W125"/>
      <c r="Y125"/>
      <c r="Z125"/>
      <c r="AA125"/>
      <c r="AB125"/>
      <c r="AC125"/>
      <c r="AE125"/>
      <c r="AF125"/>
      <c r="AG125"/>
      <c r="AH125"/>
      <c r="AI125"/>
      <c r="AR125"/>
      <c r="AS125"/>
    </row>
    <row r="126" spans="1:45" ht="39.6" x14ac:dyDescent="0.3">
      <c r="A126" s="17" t="s">
        <v>61</v>
      </c>
      <c r="B126" s="5" t="s">
        <v>62</v>
      </c>
      <c r="C126" s="4" t="s">
        <v>16</v>
      </c>
      <c r="D126" s="5" t="s">
        <v>17</v>
      </c>
      <c r="E126" s="4" t="s">
        <v>18</v>
      </c>
      <c r="F126" s="5" t="s">
        <v>17</v>
      </c>
      <c r="G126" s="4" t="s">
        <v>29</v>
      </c>
      <c r="H126" s="5" t="s">
        <v>17</v>
      </c>
      <c r="I126" s="4" t="s">
        <v>107</v>
      </c>
      <c r="J126" s="5" t="s">
        <v>108</v>
      </c>
      <c r="K126" s="4" t="s">
        <v>385</v>
      </c>
      <c r="L126" s="5" t="s">
        <v>386</v>
      </c>
      <c r="M126" s="5" t="s">
        <v>386</v>
      </c>
      <c r="N126" s="5" t="s">
        <v>519</v>
      </c>
      <c r="O126" s="18">
        <v>1894.98116024</v>
      </c>
      <c r="P126" s="13" t="str">
        <f t="shared" si="8"/>
        <v>Ver imagen</v>
      </c>
      <c r="R126"/>
      <c r="S126"/>
      <c r="T126"/>
      <c r="V126"/>
      <c r="W126"/>
      <c r="Y126"/>
      <c r="Z126"/>
      <c r="AA126"/>
      <c r="AB126"/>
      <c r="AC126"/>
      <c r="AE126"/>
      <c r="AF126"/>
      <c r="AG126"/>
      <c r="AH126"/>
      <c r="AI126"/>
      <c r="AR126"/>
      <c r="AS126"/>
    </row>
    <row r="127" spans="1:45" ht="39.6" x14ac:dyDescent="0.3">
      <c r="A127" s="22" t="s">
        <v>44</v>
      </c>
      <c r="B127" s="23" t="s">
        <v>45</v>
      </c>
      <c r="C127" s="24" t="s">
        <v>16</v>
      </c>
      <c r="D127" s="23" t="s">
        <v>17</v>
      </c>
      <c r="E127" s="24" t="s">
        <v>48</v>
      </c>
      <c r="F127" s="23" t="s">
        <v>49</v>
      </c>
      <c r="G127" s="24" t="s">
        <v>29</v>
      </c>
      <c r="H127" s="23" t="s">
        <v>17</v>
      </c>
      <c r="I127" s="24" t="s">
        <v>82</v>
      </c>
      <c r="J127" s="23" t="s">
        <v>45</v>
      </c>
      <c r="K127" s="24" t="s">
        <v>387</v>
      </c>
      <c r="L127" s="23" t="s">
        <v>388</v>
      </c>
      <c r="M127" s="23" t="s">
        <v>388</v>
      </c>
      <c r="N127" s="23" t="s">
        <v>520</v>
      </c>
      <c r="O127" s="25">
        <v>1167.3987212500001</v>
      </c>
      <c r="P127" s="13" t="str">
        <f t="shared" si="8"/>
        <v>Ver imagen</v>
      </c>
      <c r="R127"/>
      <c r="S127"/>
      <c r="T127"/>
      <c r="V127"/>
      <c r="W127"/>
      <c r="Y127"/>
      <c r="Z127"/>
      <c r="AA127"/>
      <c r="AB127"/>
      <c r="AC127"/>
      <c r="AE127"/>
      <c r="AF127"/>
      <c r="AG127"/>
      <c r="AH127"/>
      <c r="AI127"/>
      <c r="AR127"/>
      <c r="AS127"/>
    </row>
    <row r="128" spans="1:45" x14ac:dyDescent="0.3">
      <c r="O128" s="16"/>
    </row>
  </sheetData>
  <sortState xmlns:xlrd2="http://schemas.microsoft.com/office/spreadsheetml/2017/richdata2" ref="AE4:AI13">
    <sortCondition ref="AE4:AE13"/>
  </sortState>
  <mergeCells count="5">
    <mergeCell ref="R1:S1"/>
    <mergeCell ref="V1:W1"/>
    <mergeCell ref="AK1:AO1"/>
    <mergeCell ref="AE1:AI1"/>
    <mergeCell ref="Y1:AC1"/>
  </mergeCells>
  <pageMargins left="0.7" right="0.7" top="0.75" bottom="0.75" header="0.3" footer="0.3"/>
  <pageSetup orientation="portrait" horizontalDpi="4294967295" verticalDpi="4294967295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8B02-079F-4DBC-B196-B81ADDDFF389}">
  <dimension ref="A1:K126"/>
  <sheetViews>
    <sheetView topLeftCell="A93" workbookViewId="0">
      <selection activeCell="F25" sqref="F25"/>
    </sheetView>
  </sheetViews>
  <sheetFormatPr baseColWidth="10" defaultRowHeight="14.4" x14ac:dyDescent="0.3"/>
  <cols>
    <col min="1" max="1" width="13.44140625" bestFit="1" customWidth="1"/>
    <col min="2" max="2" width="13.88671875" bestFit="1" customWidth="1"/>
    <col min="3" max="3" width="14.88671875" bestFit="1" customWidth="1"/>
    <col min="4" max="4" width="14" bestFit="1" customWidth="1"/>
    <col min="5" max="5" width="27.6640625" bestFit="1" customWidth="1"/>
    <col min="6" max="6" width="48.5546875" bestFit="1" customWidth="1"/>
    <col min="7" max="7" width="12.44140625" bestFit="1" customWidth="1"/>
    <col min="8" max="8" width="15.88671875" customWidth="1"/>
    <col min="9" max="9" width="13.33203125" bestFit="1" customWidth="1"/>
    <col min="10" max="11" width="13.6640625" bestFit="1" customWidth="1"/>
  </cols>
  <sheetData>
    <row r="1" spans="1:11" x14ac:dyDescent="0.3">
      <c r="A1" t="s">
        <v>526</v>
      </c>
      <c r="B1" t="s">
        <v>527</v>
      </c>
      <c r="C1" t="s">
        <v>528</v>
      </c>
      <c r="D1" t="s">
        <v>529</v>
      </c>
      <c r="E1" t="s">
        <v>530</v>
      </c>
      <c r="F1" t="s">
        <v>531</v>
      </c>
      <c r="G1" t="s">
        <v>532</v>
      </c>
      <c r="H1" t="s">
        <v>533</v>
      </c>
      <c r="I1" t="s">
        <v>534</v>
      </c>
      <c r="J1" t="s">
        <v>535</v>
      </c>
      <c r="K1" t="s">
        <v>536</v>
      </c>
    </row>
    <row r="2" spans="1:11" x14ac:dyDescent="0.3">
      <c r="A2" s="14" t="s">
        <v>537</v>
      </c>
      <c r="B2" s="14" t="s">
        <v>538</v>
      </c>
      <c r="C2" s="14" t="s">
        <v>215</v>
      </c>
      <c r="D2" s="14" t="s">
        <v>539</v>
      </c>
      <c r="E2" s="14" t="s">
        <v>540</v>
      </c>
      <c r="F2" s="14" t="s">
        <v>541</v>
      </c>
      <c r="G2" s="14" t="s">
        <v>542</v>
      </c>
      <c r="H2" s="15">
        <v>374.83400457099998</v>
      </c>
      <c r="I2">
        <v>2024</v>
      </c>
      <c r="J2">
        <v>1.03537997622</v>
      </c>
      <c r="K2">
        <v>3.0607649123699999E-2</v>
      </c>
    </row>
    <row r="3" spans="1:11" x14ac:dyDescent="0.3">
      <c r="A3" s="14" t="s">
        <v>537</v>
      </c>
      <c r="B3" s="14" t="s">
        <v>543</v>
      </c>
      <c r="C3" s="14" t="s">
        <v>23</v>
      </c>
      <c r="D3" s="14" t="s">
        <v>539</v>
      </c>
      <c r="E3" s="14" t="s">
        <v>544</v>
      </c>
      <c r="F3" s="14" t="s">
        <v>545</v>
      </c>
      <c r="G3" s="14" t="s">
        <v>542</v>
      </c>
      <c r="H3" s="15">
        <v>507.14109460100002</v>
      </c>
      <c r="I3">
        <v>2024</v>
      </c>
      <c r="J3">
        <v>1.1585036479299999</v>
      </c>
      <c r="K3">
        <v>4.13838961913E-2</v>
      </c>
    </row>
    <row r="4" spans="1:11" x14ac:dyDescent="0.3">
      <c r="A4" s="14" t="s">
        <v>537</v>
      </c>
      <c r="B4" s="14" t="s">
        <v>546</v>
      </c>
      <c r="C4" s="14" t="s">
        <v>42</v>
      </c>
      <c r="D4" s="14" t="s">
        <v>539</v>
      </c>
      <c r="E4" s="14" t="s">
        <v>547</v>
      </c>
      <c r="F4" s="14" t="s">
        <v>548</v>
      </c>
      <c r="G4" s="14" t="s">
        <v>542</v>
      </c>
      <c r="H4" s="15">
        <v>296.89404997600002</v>
      </c>
      <c r="I4">
        <v>2024</v>
      </c>
      <c r="J4">
        <v>0.812183225565</v>
      </c>
      <c r="K4">
        <v>2.4248255465599999E-2</v>
      </c>
    </row>
    <row r="5" spans="1:11" x14ac:dyDescent="0.3">
      <c r="A5" s="14" t="s">
        <v>537</v>
      </c>
      <c r="B5" s="14" t="s">
        <v>549</v>
      </c>
      <c r="C5" s="14" t="s">
        <v>59</v>
      </c>
      <c r="D5" s="14" t="s">
        <v>539</v>
      </c>
      <c r="E5" s="14" t="s">
        <v>550</v>
      </c>
      <c r="F5" s="14" t="s">
        <v>551</v>
      </c>
      <c r="G5" s="14" t="s">
        <v>542</v>
      </c>
      <c r="H5" s="15">
        <v>128.932153183</v>
      </c>
      <c r="I5">
        <v>2024</v>
      </c>
      <c r="J5">
        <v>0.70519954095000004</v>
      </c>
      <c r="K5">
        <v>1.0534526583099999E-2</v>
      </c>
    </row>
    <row r="6" spans="1:11" x14ac:dyDescent="0.3">
      <c r="A6" s="14" t="s">
        <v>537</v>
      </c>
      <c r="B6" s="14" t="s">
        <v>552</v>
      </c>
      <c r="C6" s="14" t="s">
        <v>78</v>
      </c>
      <c r="D6" s="14" t="s">
        <v>539</v>
      </c>
      <c r="E6" s="14" t="s">
        <v>553</v>
      </c>
      <c r="F6" s="14" t="s">
        <v>548</v>
      </c>
      <c r="G6" s="14" t="s">
        <v>542</v>
      </c>
      <c r="H6" s="15">
        <v>84.132477153699995</v>
      </c>
      <c r="I6">
        <v>2024</v>
      </c>
      <c r="J6">
        <v>0.44553301273500001</v>
      </c>
      <c r="K6">
        <v>6.8665070689199999E-3</v>
      </c>
    </row>
    <row r="7" spans="1:11" x14ac:dyDescent="0.3">
      <c r="A7" s="14" t="s">
        <v>537</v>
      </c>
      <c r="B7" s="14" t="s">
        <v>554</v>
      </c>
      <c r="C7" s="14" t="s">
        <v>90</v>
      </c>
      <c r="D7" s="14" t="s">
        <v>539</v>
      </c>
      <c r="E7" s="14" t="s">
        <v>555</v>
      </c>
      <c r="F7" s="14" t="s">
        <v>556</v>
      </c>
      <c r="G7" s="14" t="s">
        <v>542</v>
      </c>
      <c r="H7" s="15">
        <v>1209.1454622700001</v>
      </c>
      <c r="I7">
        <v>2024</v>
      </c>
      <c r="J7">
        <v>2.0587310925</v>
      </c>
      <c r="K7">
        <v>9.8921100881800006E-2</v>
      </c>
    </row>
    <row r="8" spans="1:11" x14ac:dyDescent="0.3">
      <c r="A8" s="14" t="s">
        <v>537</v>
      </c>
      <c r="B8" s="14" t="s">
        <v>557</v>
      </c>
      <c r="C8" s="14" t="s">
        <v>105</v>
      </c>
      <c r="D8" s="14" t="s">
        <v>539</v>
      </c>
      <c r="E8" s="14" t="s">
        <v>558</v>
      </c>
      <c r="F8" s="14" t="s">
        <v>559</v>
      </c>
      <c r="G8" s="14" t="s">
        <v>542</v>
      </c>
      <c r="H8" s="15">
        <v>402.46596621600003</v>
      </c>
      <c r="I8">
        <v>2024</v>
      </c>
      <c r="J8">
        <v>1.14698357903</v>
      </c>
      <c r="K8">
        <v>3.2816580204400002E-2</v>
      </c>
    </row>
    <row r="9" spans="1:11" x14ac:dyDescent="0.3">
      <c r="A9" s="14" t="s">
        <v>537</v>
      </c>
      <c r="B9" s="14" t="s">
        <v>560</v>
      </c>
      <c r="C9" s="14" t="s">
        <v>110</v>
      </c>
      <c r="D9" s="14" t="s">
        <v>539</v>
      </c>
      <c r="E9" s="14" t="s">
        <v>561</v>
      </c>
      <c r="F9" s="14" t="s">
        <v>562</v>
      </c>
      <c r="G9" s="14" t="s">
        <v>542</v>
      </c>
      <c r="H9" s="15">
        <v>81.876301800999997</v>
      </c>
      <c r="I9">
        <v>2024</v>
      </c>
      <c r="J9">
        <v>0.42749559646700003</v>
      </c>
      <c r="K9">
        <v>6.68338737098E-3</v>
      </c>
    </row>
    <row r="10" spans="1:11" x14ac:dyDescent="0.3">
      <c r="A10" s="14" t="s">
        <v>537</v>
      </c>
      <c r="B10" s="14" t="s">
        <v>563</v>
      </c>
      <c r="C10" s="14" t="s">
        <v>118</v>
      </c>
      <c r="D10" s="14" t="s">
        <v>539</v>
      </c>
      <c r="E10" s="14" t="s">
        <v>564</v>
      </c>
      <c r="F10" s="14" t="s">
        <v>565</v>
      </c>
      <c r="G10" s="14" t="s">
        <v>542</v>
      </c>
      <c r="H10" s="15">
        <v>338.50228653300002</v>
      </c>
      <c r="I10">
        <v>2024</v>
      </c>
      <c r="J10">
        <v>0.91646529533800003</v>
      </c>
      <c r="K10">
        <v>2.7679559955500001E-2</v>
      </c>
    </row>
    <row r="11" spans="1:11" x14ac:dyDescent="0.3">
      <c r="A11" s="14" t="s">
        <v>537</v>
      </c>
      <c r="B11" s="14" t="s">
        <v>566</v>
      </c>
      <c r="C11" s="14" t="s">
        <v>125</v>
      </c>
      <c r="D11" s="14" t="s">
        <v>539</v>
      </c>
      <c r="E11" s="14" t="s">
        <v>567</v>
      </c>
      <c r="F11" s="14" t="s">
        <v>565</v>
      </c>
      <c r="G11" s="14" t="s">
        <v>542</v>
      </c>
      <c r="H11" s="15">
        <v>1413.7757188099999</v>
      </c>
      <c r="I11">
        <v>2024</v>
      </c>
      <c r="J11">
        <v>1.8476440576199999</v>
      </c>
      <c r="K11">
        <v>0.11570603689099999</v>
      </c>
    </row>
    <row r="12" spans="1:11" x14ac:dyDescent="0.3">
      <c r="A12" s="14" t="s">
        <v>537</v>
      </c>
      <c r="B12" s="14" t="s">
        <v>568</v>
      </c>
      <c r="C12" s="14" t="s">
        <v>343</v>
      </c>
      <c r="D12" s="14" t="s">
        <v>539</v>
      </c>
      <c r="E12" s="14" t="s">
        <v>569</v>
      </c>
      <c r="F12" s="14" t="s">
        <v>570</v>
      </c>
      <c r="G12" s="14" t="s">
        <v>542</v>
      </c>
      <c r="H12" s="15">
        <v>525.58307838500002</v>
      </c>
      <c r="I12">
        <v>2024</v>
      </c>
      <c r="J12">
        <v>1.12137202655</v>
      </c>
      <c r="K12">
        <v>4.29272878435E-2</v>
      </c>
    </row>
    <row r="13" spans="1:11" x14ac:dyDescent="0.3">
      <c r="A13" s="14" t="s">
        <v>537</v>
      </c>
      <c r="B13" s="14" t="s">
        <v>571</v>
      </c>
      <c r="C13" s="14" t="s">
        <v>133</v>
      </c>
      <c r="D13" s="14" t="s">
        <v>539</v>
      </c>
      <c r="E13" s="14" t="s">
        <v>572</v>
      </c>
      <c r="F13" s="14" t="s">
        <v>573</v>
      </c>
      <c r="G13" s="14" t="s">
        <v>542</v>
      </c>
      <c r="H13" s="15">
        <v>255.92331397800001</v>
      </c>
      <c r="I13">
        <v>2024</v>
      </c>
      <c r="J13">
        <v>0.74683516263500005</v>
      </c>
      <c r="K13">
        <v>2.08933711179E-2</v>
      </c>
    </row>
    <row r="14" spans="1:11" x14ac:dyDescent="0.3">
      <c r="A14" s="14" t="s">
        <v>537</v>
      </c>
      <c r="B14" s="14" t="s">
        <v>574</v>
      </c>
      <c r="C14" s="14" t="s">
        <v>140</v>
      </c>
      <c r="D14" s="14" t="s">
        <v>539</v>
      </c>
      <c r="E14" s="14" t="s">
        <v>575</v>
      </c>
      <c r="F14" s="14" t="s">
        <v>576</v>
      </c>
      <c r="G14" s="14" t="s">
        <v>542</v>
      </c>
      <c r="H14" s="15">
        <v>535.15628883800002</v>
      </c>
      <c r="I14">
        <v>2024</v>
      </c>
      <c r="J14">
        <v>1.2856084883400001</v>
      </c>
      <c r="K14">
        <v>4.3799797000499997E-2</v>
      </c>
    </row>
    <row r="15" spans="1:11" x14ac:dyDescent="0.3">
      <c r="A15" s="14" t="s">
        <v>537</v>
      </c>
      <c r="B15" s="14" t="s">
        <v>577</v>
      </c>
      <c r="C15" s="14" t="s">
        <v>147</v>
      </c>
      <c r="D15" s="14" t="s">
        <v>539</v>
      </c>
      <c r="E15" s="14" t="s">
        <v>578</v>
      </c>
      <c r="F15" s="14" t="s">
        <v>579</v>
      </c>
      <c r="G15" s="14" t="s">
        <v>542</v>
      </c>
      <c r="H15" s="15">
        <v>754.23789037300003</v>
      </c>
      <c r="I15">
        <v>2024</v>
      </c>
      <c r="J15">
        <v>1.8602116049199999</v>
      </c>
      <c r="K15">
        <v>6.1853625755899998E-2</v>
      </c>
    </row>
    <row r="16" spans="1:11" x14ac:dyDescent="0.3">
      <c r="A16" s="14" t="s">
        <v>537</v>
      </c>
      <c r="B16" s="14" t="s">
        <v>580</v>
      </c>
      <c r="C16" s="14" t="s">
        <v>151</v>
      </c>
      <c r="D16" s="14" t="s">
        <v>539</v>
      </c>
      <c r="E16" s="14" t="s">
        <v>581</v>
      </c>
      <c r="F16" s="14" t="s">
        <v>582</v>
      </c>
      <c r="G16" s="14" t="s">
        <v>542</v>
      </c>
      <c r="H16" s="15">
        <v>245.341782088</v>
      </c>
      <c r="I16">
        <v>2024</v>
      </c>
      <c r="J16">
        <v>1.0623383774499999</v>
      </c>
      <c r="K16">
        <v>2.0022121869999999E-2</v>
      </c>
    </row>
    <row r="17" spans="1:11" x14ac:dyDescent="0.3">
      <c r="A17" s="14" t="s">
        <v>537</v>
      </c>
      <c r="B17" s="14" t="s">
        <v>583</v>
      </c>
      <c r="C17" s="14" t="s">
        <v>153</v>
      </c>
      <c r="D17" s="14" t="s">
        <v>539</v>
      </c>
      <c r="E17" s="14" t="s">
        <v>584</v>
      </c>
      <c r="F17" s="14" t="s">
        <v>585</v>
      </c>
      <c r="G17" s="14" t="s">
        <v>542</v>
      </c>
      <c r="H17" s="15">
        <v>110.43497503499999</v>
      </c>
      <c r="I17">
        <v>2024</v>
      </c>
      <c r="J17">
        <v>0.502777091472</v>
      </c>
      <c r="K17">
        <v>9.0144025933200003E-3</v>
      </c>
    </row>
    <row r="18" spans="1:11" x14ac:dyDescent="0.3">
      <c r="A18" s="14" t="s">
        <v>537</v>
      </c>
      <c r="B18" s="14" t="s">
        <v>586</v>
      </c>
      <c r="C18" s="14" t="s">
        <v>155</v>
      </c>
      <c r="D18" s="14" t="s">
        <v>539</v>
      </c>
      <c r="E18" s="14" t="s">
        <v>587</v>
      </c>
      <c r="F18" s="14" t="s">
        <v>588</v>
      </c>
      <c r="G18" s="14" t="s">
        <v>542</v>
      </c>
      <c r="H18" s="15">
        <v>205.64178123400001</v>
      </c>
      <c r="I18">
        <v>2024</v>
      </c>
      <c r="J18">
        <v>0.77023981830999999</v>
      </c>
      <c r="K18">
        <v>1.6801905890199999E-2</v>
      </c>
    </row>
    <row r="19" spans="1:11" x14ac:dyDescent="0.3">
      <c r="A19" s="14" t="s">
        <v>537</v>
      </c>
      <c r="B19" s="14" t="s">
        <v>589</v>
      </c>
      <c r="C19" s="14" t="s">
        <v>159</v>
      </c>
      <c r="D19" s="14" t="s">
        <v>539</v>
      </c>
      <c r="E19" s="14" t="s">
        <v>590</v>
      </c>
      <c r="F19" s="14" t="s">
        <v>545</v>
      </c>
      <c r="G19" s="14" t="s">
        <v>542</v>
      </c>
      <c r="H19" s="15">
        <v>296.15316702000001</v>
      </c>
      <c r="I19">
        <v>2024</v>
      </c>
      <c r="J19">
        <v>1.1730035354099999</v>
      </c>
      <c r="K19">
        <v>2.42003553563E-2</v>
      </c>
    </row>
    <row r="20" spans="1:11" x14ac:dyDescent="0.3">
      <c r="A20" s="14" t="s">
        <v>537</v>
      </c>
      <c r="B20" s="14" t="s">
        <v>591</v>
      </c>
      <c r="C20" s="14" t="s">
        <v>157</v>
      </c>
      <c r="D20" s="14" t="s">
        <v>539</v>
      </c>
      <c r="E20" s="14" t="s">
        <v>592</v>
      </c>
      <c r="F20" s="14" t="s">
        <v>593</v>
      </c>
      <c r="G20" s="14" t="s">
        <v>542</v>
      </c>
      <c r="H20" s="15">
        <v>147.69428275499999</v>
      </c>
      <c r="I20">
        <v>2024</v>
      </c>
      <c r="J20">
        <v>0.62063483623600002</v>
      </c>
      <c r="K20">
        <v>1.20627474522E-2</v>
      </c>
    </row>
    <row r="21" spans="1:11" x14ac:dyDescent="0.3">
      <c r="A21" s="14" t="s">
        <v>537</v>
      </c>
      <c r="B21" s="14" t="s">
        <v>594</v>
      </c>
      <c r="C21" s="14" t="s">
        <v>163</v>
      </c>
      <c r="D21" s="14" t="s">
        <v>539</v>
      </c>
      <c r="E21" s="14" t="s">
        <v>595</v>
      </c>
      <c r="F21" s="14" t="s">
        <v>596</v>
      </c>
      <c r="G21" s="14" t="s">
        <v>542</v>
      </c>
      <c r="H21" s="15">
        <v>180.52492709399999</v>
      </c>
      <c r="I21">
        <v>2024</v>
      </c>
      <c r="J21">
        <v>0.69287236362500004</v>
      </c>
      <c r="K21">
        <v>1.4721297556999999E-2</v>
      </c>
    </row>
    <row r="22" spans="1:11" x14ac:dyDescent="0.3">
      <c r="A22" s="14" t="s">
        <v>537</v>
      </c>
      <c r="B22" s="14" t="s">
        <v>597</v>
      </c>
      <c r="C22" s="14" t="s">
        <v>169</v>
      </c>
      <c r="D22" s="14" t="s">
        <v>539</v>
      </c>
      <c r="E22" s="14" t="s">
        <v>598</v>
      </c>
      <c r="F22" s="14" t="s">
        <v>599</v>
      </c>
      <c r="G22" s="14" t="s">
        <v>542</v>
      </c>
      <c r="H22" s="15">
        <v>262.36750224299999</v>
      </c>
      <c r="I22">
        <v>2024</v>
      </c>
      <c r="J22">
        <v>0.84767555190499999</v>
      </c>
      <c r="K22">
        <v>2.1413523564999998E-2</v>
      </c>
    </row>
    <row r="23" spans="1:11" x14ac:dyDescent="0.3">
      <c r="A23" s="14" t="s">
        <v>537</v>
      </c>
      <c r="B23" s="14" t="s">
        <v>600</v>
      </c>
      <c r="C23" s="14" t="s">
        <v>203</v>
      </c>
      <c r="D23" s="14" t="s">
        <v>539</v>
      </c>
      <c r="E23" s="14" t="s">
        <v>601</v>
      </c>
      <c r="F23" s="14" t="s">
        <v>602</v>
      </c>
      <c r="G23" s="14" t="s">
        <v>542</v>
      </c>
      <c r="H23" s="15">
        <v>263.78664765799999</v>
      </c>
      <c r="I23">
        <v>2024</v>
      </c>
      <c r="J23">
        <v>0.73786104915299999</v>
      </c>
      <c r="K23">
        <v>2.1514718798300001E-2</v>
      </c>
    </row>
    <row r="24" spans="1:11" x14ac:dyDescent="0.3">
      <c r="A24" s="14" t="s">
        <v>537</v>
      </c>
      <c r="B24" s="14" t="s">
        <v>603</v>
      </c>
      <c r="C24" s="14" t="s">
        <v>171</v>
      </c>
      <c r="D24" s="14" t="s">
        <v>539</v>
      </c>
      <c r="E24" s="14" t="s">
        <v>604</v>
      </c>
      <c r="F24" s="14" t="s">
        <v>605</v>
      </c>
      <c r="G24" s="14" t="s">
        <v>542</v>
      </c>
      <c r="H24" s="15">
        <v>376.34675581800002</v>
      </c>
      <c r="I24">
        <v>2024</v>
      </c>
      <c r="J24">
        <v>1.0044719685200001</v>
      </c>
      <c r="K24">
        <v>3.0784962253200002E-2</v>
      </c>
    </row>
    <row r="25" spans="1:11" x14ac:dyDescent="0.3">
      <c r="A25" s="14" t="s">
        <v>537</v>
      </c>
      <c r="B25" s="14" t="s">
        <v>606</v>
      </c>
      <c r="C25" s="14" t="s">
        <v>173</v>
      </c>
      <c r="D25" s="14" t="s">
        <v>539</v>
      </c>
      <c r="E25" s="14" t="s">
        <v>607</v>
      </c>
      <c r="F25" s="14" t="s">
        <v>588</v>
      </c>
      <c r="G25" s="14" t="s">
        <v>542</v>
      </c>
      <c r="H25" s="15">
        <v>355.29786474700001</v>
      </c>
      <c r="I25">
        <v>2024</v>
      </c>
      <c r="J25">
        <v>0.96581485668199996</v>
      </c>
      <c r="K25">
        <v>2.9034731496800002E-2</v>
      </c>
    </row>
    <row r="26" spans="1:11" x14ac:dyDescent="0.3">
      <c r="A26" s="14" t="s">
        <v>537</v>
      </c>
      <c r="B26" s="14" t="s">
        <v>608</v>
      </c>
      <c r="C26" s="14" t="s">
        <v>175</v>
      </c>
      <c r="D26" s="14" t="s">
        <v>539</v>
      </c>
      <c r="E26" s="14" t="s">
        <v>609</v>
      </c>
      <c r="F26" s="14" t="s">
        <v>610</v>
      </c>
      <c r="G26" s="14" t="s">
        <v>542</v>
      </c>
      <c r="H26" s="15">
        <v>1873.7339007400001</v>
      </c>
      <c r="I26">
        <v>2024</v>
      </c>
      <c r="J26">
        <v>2.9357445212900002</v>
      </c>
      <c r="K26">
        <v>0.15349875637800001</v>
      </c>
    </row>
    <row r="27" spans="1:11" x14ac:dyDescent="0.3">
      <c r="A27" s="14" t="s">
        <v>537</v>
      </c>
      <c r="B27" s="14" t="s">
        <v>611</v>
      </c>
      <c r="C27" s="14" t="s">
        <v>179</v>
      </c>
      <c r="D27" s="14" t="s">
        <v>539</v>
      </c>
      <c r="E27" s="14" t="s">
        <v>612</v>
      </c>
      <c r="F27" s="14" t="s">
        <v>613</v>
      </c>
      <c r="G27" s="14" t="s">
        <v>542</v>
      </c>
      <c r="H27" s="15">
        <v>200.12988294199999</v>
      </c>
      <c r="I27">
        <v>2024</v>
      </c>
      <c r="J27">
        <v>0.64552339029500005</v>
      </c>
      <c r="K27">
        <v>1.63405210855E-2</v>
      </c>
    </row>
    <row r="28" spans="1:11" x14ac:dyDescent="0.3">
      <c r="A28" s="14" t="s">
        <v>537</v>
      </c>
      <c r="B28" s="14" t="s">
        <v>614</v>
      </c>
      <c r="C28" s="14" t="s">
        <v>181</v>
      </c>
      <c r="D28" s="14" t="s">
        <v>539</v>
      </c>
      <c r="E28" s="14" t="s">
        <v>615</v>
      </c>
      <c r="F28" s="14" t="s">
        <v>616</v>
      </c>
      <c r="G28" s="14" t="s">
        <v>542</v>
      </c>
      <c r="H28" s="15">
        <v>132.79655107100001</v>
      </c>
      <c r="I28">
        <v>2024</v>
      </c>
      <c r="J28">
        <v>0.533045114667</v>
      </c>
      <c r="K28">
        <v>1.0839519396000001E-2</v>
      </c>
    </row>
    <row r="29" spans="1:11" x14ac:dyDescent="0.3">
      <c r="A29" s="14" t="s">
        <v>537</v>
      </c>
      <c r="B29" s="14" t="s">
        <v>617</v>
      </c>
      <c r="C29" s="14" t="s">
        <v>183</v>
      </c>
      <c r="D29" s="14" t="s">
        <v>539</v>
      </c>
      <c r="E29" s="14" t="s">
        <v>618</v>
      </c>
      <c r="F29" s="14" t="s">
        <v>619</v>
      </c>
      <c r="G29" s="14" t="s">
        <v>542</v>
      </c>
      <c r="H29" s="15">
        <v>232.19176720499999</v>
      </c>
      <c r="I29">
        <v>2024</v>
      </c>
      <c r="J29">
        <v>0.87429474142999997</v>
      </c>
      <c r="K29">
        <v>1.8994292180799999E-2</v>
      </c>
    </row>
    <row r="30" spans="1:11" x14ac:dyDescent="0.3">
      <c r="A30" s="14" t="s">
        <v>537</v>
      </c>
      <c r="B30" s="14" t="s">
        <v>620</v>
      </c>
      <c r="C30" s="14" t="s">
        <v>187</v>
      </c>
      <c r="D30" s="14" t="s">
        <v>539</v>
      </c>
      <c r="E30" s="14" t="s">
        <v>621</v>
      </c>
      <c r="F30" s="14" t="s">
        <v>622</v>
      </c>
      <c r="G30" s="14" t="s">
        <v>542</v>
      </c>
      <c r="H30" s="15">
        <v>364.83235938899998</v>
      </c>
      <c r="I30">
        <v>2024</v>
      </c>
      <c r="J30">
        <v>1.0627759293700001</v>
      </c>
      <c r="K30">
        <v>2.9810320166499999E-2</v>
      </c>
    </row>
    <row r="31" spans="1:11" x14ac:dyDescent="0.3">
      <c r="A31" s="14" t="s">
        <v>537</v>
      </c>
      <c r="B31" s="14" t="s">
        <v>623</v>
      </c>
      <c r="C31" s="14" t="s">
        <v>189</v>
      </c>
      <c r="D31" s="14" t="s">
        <v>539</v>
      </c>
      <c r="E31" s="14" t="s">
        <v>624</v>
      </c>
      <c r="F31" s="14" t="s">
        <v>625</v>
      </c>
      <c r="G31" s="14" t="s">
        <v>542</v>
      </c>
      <c r="H31" s="15">
        <v>262.79877563000002</v>
      </c>
      <c r="I31">
        <v>2024</v>
      </c>
      <c r="J31">
        <v>1.0147852849900001</v>
      </c>
      <c r="K31">
        <v>2.1474988026400001E-2</v>
      </c>
    </row>
    <row r="32" spans="1:11" x14ac:dyDescent="0.3">
      <c r="A32" s="14" t="s">
        <v>537</v>
      </c>
      <c r="B32" s="14" t="s">
        <v>626</v>
      </c>
      <c r="C32" s="14" t="s">
        <v>191</v>
      </c>
      <c r="D32" s="14" t="s">
        <v>539</v>
      </c>
      <c r="E32" s="14" t="s">
        <v>627</v>
      </c>
      <c r="F32" s="14" t="s">
        <v>628</v>
      </c>
      <c r="G32" s="14" t="s">
        <v>542</v>
      </c>
      <c r="H32" s="15">
        <v>92.083683080699998</v>
      </c>
      <c r="I32">
        <v>2024</v>
      </c>
      <c r="J32">
        <v>0.50078337868300005</v>
      </c>
      <c r="K32">
        <v>7.5098095247499996E-3</v>
      </c>
    </row>
    <row r="33" spans="1:11" x14ac:dyDescent="0.3">
      <c r="A33" s="14" t="s">
        <v>537</v>
      </c>
      <c r="B33" s="14" t="s">
        <v>629</v>
      </c>
      <c r="C33" s="14" t="s">
        <v>193</v>
      </c>
      <c r="D33" s="14" t="s">
        <v>539</v>
      </c>
      <c r="E33" s="14" t="s">
        <v>630</v>
      </c>
      <c r="F33" s="14" t="s">
        <v>631</v>
      </c>
      <c r="G33" s="14" t="s">
        <v>542</v>
      </c>
      <c r="H33" s="15">
        <v>387.28673071499998</v>
      </c>
      <c r="I33">
        <v>2024</v>
      </c>
      <c r="J33">
        <v>1.30789674982</v>
      </c>
      <c r="K33">
        <v>3.1685083902199998E-2</v>
      </c>
    </row>
    <row r="34" spans="1:11" x14ac:dyDescent="0.3">
      <c r="A34" s="14" t="s">
        <v>537</v>
      </c>
      <c r="B34" s="14" t="s">
        <v>632</v>
      </c>
      <c r="C34" s="14" t="s">
        <v>227</v>
      </c>
      <c r="D34" s="14" t="s">
        <v>539</v>
      </c>
      <c r="E34" s="14" t="s">
        <v>633</v>
      </c>
      <c r="F34" s="14" t="s">
        <v>545</v>
      </c>
      <c r="G34" s="14" t="s">
        <v>542</v>
      </c>
      <c r="H34" s="15">
        <v>409.32993490299998</v>
      </c>
      <c r="I34">
        <v>2024</v>
      </c>
      <c r="J34">
        <v>1.3220481422100001</v>
      </c>
      <c r="K34">
        <v>3.3417059231000003E-2</v>
      </c>
    </row>
    <row r="35" spans="1:11" x14ac:dyDescent="0.3">
      <c r="A35" s="14" t="s">
        <v>537</v>
      </c>
      <c r="B35" s="14" t="s">
        <v>634</v>
      </c>
      <c r="C35" s="14" t="s">
        <v>195</v>
      </c>
      <c r="D35" s="14" t="s">
        <v>539</v>
      </c>
      <c r="E35" s="14" t="s">
        <v>635</v>
      </c>
      <c r="F35" s="14" t="s">
        <v>545</v>
      </c>
      <c r="G35" s="14" t="s">
        <v>542</v>
      </c>
      <c r="H35" s="15">
        <v>149.580818158</v>
      </c>
      <c r="I35">
        <v>2024</v>
      </c>
      <c r="J35">
        <v>0.58084064344099995</v>
      </c>
      <c r="K35">
        <v>1.22291711321E-2</v>
      </c>
    </row>
    <row r="36" spans="1:11" x14ac:dyDescent="0.3">
      <c r="A36" s="14" t="s">
        <v>537</v>
      </c>
      <c r="B36" s="14" t="s">
        <v>636</v>
      </c>
      <c r="C36" s="14" t="s">
        <v>197</v>
      </c>
      <c r="D36" s="14" t="s">
        <v>539</v>
      </c>
      <c r="E36" s="14" t="s">
        <v>637</v>
      </c>
      <c r="F36" s="14" t="s">
        <v>638</v>
      </c>
      <c r="G36" s="14" t="s">
        <v>542</v>
      </c>
      <c r="H36" s="15">
        <v>1429.0822791099999</v>
      </c>
      <c r="I36">
        <v>2024</v>
      </c>
      <c r="J36">
        <v>3.0247563820700001</v>
      </c>
      <c r="K36">
        <v>0.117141332069</v>
      </c>
    </row>
    <row r="37" spans="1:11" x14ac:dyDescent="0.3">
      <c r="A37" s="14" t="s">
        <v>537</v>
      </c>
      <c r="B37" s="14" t="s">
        <v>639</v>
      </c>
      <c r="C37" s="14" t="s">
        <v>199</v>
      </c>
      <c r="D37" s="14" t="s">
        <v>539</v>
      </c>
      <c r="E37" s="14" t="s">
        <v>640</v>
      </c>
      <c r="F37" s="14" t="s">
        <v>641</v>
      </c>
      <c r="G37" s="14" t="s">
        <v>542</v>
      </c>
      <c r="H37" s="15">
        <v>721.68264531600005</v>
      </c>
      <c r="I37">
        <v>2024</v>
      </c>
      <c r="J37">
        <v>1.6103855432500001</v>
      </c>
      <c r="K37">
        <v>5.9023195750300003E-2</v>
      </c>
    </row>
    <row r="38" spans="1:11" x14ac:dyDescent="0.3">
      <c r="A38" s="14" t="s">
        <v>537</v>
      </c>
      <c r="B38" s="14" t="s">
        <v>642</v>
      </c>
      <c r="C38" s="14" t="s">
        <v>201</v>
      </c>
      <c r="D38" s="14" t="s">
        <v>539</v>
      </c>
      <c r="E38" s="14" t="s">
        <v>643</v>
      </c>
      <c r="F38" s="14" t="s">
        <v>644</v>
      </c>
      <c r="G38" s="14" t="s">
        <v>542</v>
      </c>
      <c r="H38" s="15">
        <v>46.884779501499999</v>
      </c>
      <c r="I38">
        <v>2024</v>
      </c>
      <c r="J38">
        <v>0.38791289294699999</v>
      </c>
      <c r="K38">
        <v>3.83214750783E-3</v>
      </c>
    </row>
    <row r="39" spans="1:11" x14ac:dyDescent="0.3">
      <c r="A39" s="14" t="s">
        <v>537</v>
      </c>
      <c r="B39" s="14" t="s">
        <v>645</v>
      </c>
      <c r="C39" s="14" t="s">
        <v>205</v>
      </c>
      <c r="D39" s="14" t="s">
        <v>539</v>
      </c>
      <c r="E39" s="14" t="s">
        <v>646</v>
      </c>
      <c r="F39" s="14" t="s">
        <v>647</v>
      </c>
      <c r="G39" s="14" t="s">
        <v>542</v>
      </c>
      <c r="H39" s="15">
        <v>257.94876923300001</v>
      </c>
      <c r="I39">
        <v>2024</v>
      </c>
      <c r="J39">
        <v>1.0646531423400001</v>
      </c>
      <c r="K39">
        <v>2.1060913070699998E-2</v>
      </c>
    </row>
    <row r="40" spans="1:11" x14ac:dyDescent="0.3">
      <c r="A40" s="14" t="s">
        <v>537</v>
      </c>
      <c r="B40" s="14" t="s">
        <v>648</v>
      </c>
      <c r="C40" s="14" t="s">
        <v>207</v>
      </c>
      <c r="D40" s="14" t="s">
        <v>539</v>
      </c>
      <c r="E40" s="14" t="s">
        <v>649</v>
      </c>
      <c r="F40" s="14" t="s">
        <v>650</v>
      </c>
      <c r="G40" s="14" t="s">
        <v>542</v>
      </c>
      <c r="H40" s="15">
        <v>202.05448562199999</v>
      </c>
      <c r="I40">
        <v>2024</v>
      </c>
      <c r="J40">
        <v>0.71505588146599997</v>
      </c>
      <c r="K40">
        <v>1.6508022448299998E-2</v>
      </c>
    </row>
    <row r="41" spans="1:11" x14ac:dyDescent="0.3">
      <c r="A41" s="14" t="s">
        <v>537</v>
      </c>
      <c r="B41" s="14" t="s">
        <v>651</v>
      </c>
      <c r="C41" s="14" t="s">
        <v>209</v>
      </c>
      <c r="D41" s="14" t="s">
        <v>539</v>
      </c>
      <c r="E41" s="14" t="s">
        <v>652</v>
      </c>
      <c r="F41" s="14" t="s">
        <v>653</v>
      </c>
      <c r="G41" s="14" t="s">
        <v>542</v>
      </c>
      <c r="H41" s="15">
        <v>247.880390514</v>
      </c>
      <c r="I41">
        <v>2024</v>
      </c>
      <c r="J41">
        <v>0.74995537497499998</v>
      </c>
      <c r="K41">
        <v>2.0227687961299999E-2</v>
      </c>
    </row>
    <row r="42" spans="1:11" x14ac:dyDescent="0.3">
      <c r="A42" s="14" t="s">
        <v>537</v>
      </c>
      <c r="B42" s="14" t="s">
        <v>654</v>
      </c>
      <c r="C42" s="14" t="s">
        <v>211</v>
      </c>
      <c r="D42" s="14" t="s">
        <v>539</v>
      </c>
      <c r="E42" s="14" t="s">
        <v>655</v>
      </c>
      <c r="F42" s="14" t="s">
        <v>588</v>
      </c>
      <c r="G42" s="14" t="s">
        <v>542</v>
      </c>
      <c r="H42" s="15">
        <v>67.856804510700002</v>
      </c>
      <c r="I42">
        <v>2024</v>
      </c>
      <c r="J42">
        <v>0.51461220977</v>
      </c>
      <c r="K42">
        <v>5.5424869874000004E-3</v>
      </c>
    </row>
    <row r="43" spans="1:11" x14ac:dyDescent="0.3">
      <c r="A43" s="14" t="s">
        <v>537</v>
      </c>
      <c r="B43" s="14" t="s">
        <v>656</v>
      </c>
      <c r="C43" s="14" t="s">
        <v>213</v>
      </c>
      <c r="D43" s="14" t="s">
        <v>539</v>
      </c>
      <c r="E43" s="14" t="s">
        <v>657</v>
      </c>
      <c r="F43" s="14" t="s">
        <v>658</v>
      </c>
      <c r="G43" s="14" t="s">
        <v>542</v>
      </c>
      <c r="H43" s="15">
        <v>1957.2627078600001</v>
      </c>
      <c r="I43">
        <v>2024</v>
      </c>
      <c r="J43">
        <v>2.59275579043</v>
      </c>
      <c r="K43">
        <v>0.159926483088</v>
      </c>
    </row>
    <row r="44" spans="1:11" x14ac:dyDescent="0.3">
      <c r="A44" s="14" t="s">
        <v>537</v>
      </c>
      <c r="B44" s="14" t="s">
        <v>659</v>
      </c>
      <c r="C44" s="14" t="s">
        <v>221</v>
      </c>
      <c r="D44" s="14" t="s">
        <v>539</v>
      </c>
      <c r="E44" s="14" t="s">
        <v>660</v>
      </c>
      <c r="F44" s="14" t="s">
        <v>545</v>
      </c>
      <c r="G44" s="14" t="s">
        <v>542</v>
      </c>
      <c r="H44" s="15">
        <v>203.32080361999999</v>
      </c>
      <c r="I44">
        <v>2024</v>
      </c>
      <c r="J44">
        <v>0.93037072892200001</v>
      </c>
      <c r="K44">
        <v>1.6613766807999999E-2</v>
      </c>
    </row>
    <row r="45" spans="1:11" x14ac:dyDescent="0.3">
      <c r="A45" s="14" t="s">
        <v>537</v>
      </c>
      <c r="B45" s="14" t="s">
        <v>661</v>
      </c>
      <c r="C45" s="14" t="s">
        <v>223</v>
      </c>
      <c r="D45" s="14" t="s">
        <v>539</v>
      </c>
      <c r="E45" s="14" t="s">
        <v>662</v>
      </c>
      <c r="F45" s="14" t="s">
        <v>663</v>
      </c>
      <c r="G45" s="14" t="s">
        <v>542</v>
      </c>
      <c r="H45" s="15">
        <v>237.74345149300001</v>
      </c>
      <c r="I45">
        <v>2024</v>
      </c>
      <c r="J45">
        <v>0.80367414791799996</v>
      </c>
      <c r="K45">
        <v>1.94125500379E-2</v>
      </c>
    </row>
    <row r="46" spans="1:11" x14ac:dyDescent="0.3">
      <c r="A46" s="14" t="s">
        <v>537</v>
      </c>
      <c r="B46" s="14" t="s">
        <v>664</v>
      </c>
      <c r="C46" s="14" t="s">
        <v>225</v>
      </c>
      <c r="D46" s="14" t="s">
        <v>539</v>
      </c>
      <c r="E46" s="14" t="s">
        <v>665</v>
      </c>
      <c r="F46" s="14" t="s">
        <v>666</v>
      </c>
      <c r="G46" s="14" t="s">
        <v>542</v>
      </c>
      <c r="H46" s="15">
        <v>1560.24755648</v>
      </c>
      <c r="I46">
        <v>2024</v>
      </c>
      <c r="J46">
        <v>2.2969118417600001</v>
      </c>
      <c r="K46">
        <v>0.12786677883600001</v>
      </c>
    </row>
    <row r="47" spans="1:11" x14ac:dyDescent="0.3">
      <c r="A47" s="14" t="s">
        <v>537</v>
      </c>
      <c r="B47" s="14" t="s">
        <v>667</v>
      </c>
      <c r="C47" s="14" t="s">
        <v>235</v>
      </c>
      <c r="D47" s="14" t="s">
        <v>539</v>
      </c>
      <c r="E47" s="14" t="s">
        <v>668</v>
      </c>
      <c r="F47" s="14" t="s">
        <v>669</v>
      </c>
      <c r="G47" s="14" t="s">
        <v>542</v>
      </c>
      <c r="H47" s="15">
        <v>214.19594584999999</v>
      </c>
      <c r="I47">
        <v>2024</v>
      </c>
      <c r="J47">
        <v>0.79239758016100004</v>
      </c>
      <c r="K47">
        <v>1.7502645182800002E-2</v>
      </c>
    </row>
    <row r="48" spans="1:11" x14ac:dyDescent="0.3">
      <c r="A48" s="14" t="s">
        <v>537</v>
      </c>
      <c r="B48" s="14" t="s">
        <v>670</v>
      </c>
      <c r="C48" s="14" t="s">
        <v>237</v>
      </c>
      <c r="D48" s="14" t="s">
        <v>539</v>
      </c>
      <c r="E48" s="14" t="s">
        <v>671</v>
      </c>
      <c r="F48" s="14" t="s">
        <v>545</v>
      </c>
      <c r="G48" s="14" t="s">
        <v>542</v>
      </c>
      <c r="H48" s="15">
        <v>79.527585911599999</v>
      </c>
      <c r="I48">
        <v>2024</v>
      </c>
      <c r="J48">
        <v>0.50330022259399998</v>
      </c>
      <c r="K48">
        <v>6.4930891866099997E-3</v>
      </c>
    </row>
    <row r="49" spans="1:11" x14ac:dyDescent="0.3">
      <c r="A49" s="14" t="s">
        <v>537</v>
      </c>
      <c r="B49" s="14" t="s">
        <v>672</v>
      </c>
      <c r="C49" s="14" t="s">
        <v>239</v>
      </c>
      <c r="D49" s="14" t="s">
        <v>539</v>
      </c>
      <c r="E49" s="14" t="s">
        <v>673</v>
      </c>
      <c r="F49" s="14" t="s">
        <v>674</v>
      </c>
      <c r="G49" s="14" t="s">
        <v>542</v>
      </c>
      <c r="H49" s="15">
        <v>253.76053847899999</v>
      </c>
      <c r="I49">
        <v>2024</v>
      </c>
      <c r="J49">
        <v>0.88031520665700003</v>
      </c>
      <c r="K49">
        <v>2.0706010818100001E-2</v>
      </c>
    </row>
    <row r="50" spans="1:11" x14ac:dyDescent="0.3">
      <c r="A50" s="14" t="s">
        <v>537</v>
      </c>
      <c r="B50" s="14" t="s">
        <v>675</v>
      </c>
      <c r="C50" s="14" t="s">
        <v>241</v>
      </c>
      <c r="D50" s="14" t="s">
        <v>539</v>
      </c>
      <c r="E50" s="14" t="s">
        <v>676</v>
      </c>
      <c r="F50" s="14" t="s">
        <v>677</v>
      </c>
      <c r="G50" s="14" t="s">
        <v>542</v>
      </c>
      <c r="H50" s="15">
        <v>1384.19329472</v>
      </c>
      <c r="I50">
        <v>2024</v>
      </c>
      <c r="J50">
        <v>2.38959147978</v>
      </c>
      <c r="K50">
        <v>0.113029442657</v>
      </c>
    </row>
    <row r="51" spans="1:11" x14ac:dyDescent="0.3">
      <c r="A51" s="14" t="s">
        <v>537</v>
      </c>
      <c r="B51" s="14" t="s">
        <v>678</v>
      </c>
      <c r="C51" s="14" t="s">
        <v>243</v>
      </c>
      <c r="D51" s="14" t="s">
        <v>539</v>
      </c>
      <c r="E51" s="14" t="s">
        <v>679</v>
      </c>
      <c r="F51" s="14" t="s">
        <v>680</v>
      </c>
      <c r="G51" s="14" t="s">
        <v>542</v>
      </c>
      <c r="H51" s="15">
        <v>93.4251282683</v>
      </c>
      <c r="I51">
        <v>2024</v>
      </c>
      <c r="J51">
        <v>0.492792905941</v>
      </c>
      <c r="K51">
        <v>7.6320916331900001E-3</v>
      </c>
    </row>
    <row r="52" spans="1:11" x14ac:dyDescent="0.3">
      <c r="A52" s="14" t="s">
        <v>537</v>
      </c>
      <c r="B52" s="14" t="s">
        <v>681</v>
      </c>
      <c r="C52" s="14" t="s">
        <v>245</v>
      </c>
      <c r="D52" s="14" t="s">
        <v>539</v>
      </c>
      <c r="E52" s="14" t="s">
        <v>682</v>
      </c>
      <c r="F52" s="14" t="s">
        <v>663</v>
      </c>
      <c r="G52" s="14" t="s">
        <v>542</v>
      </c>
      <c r="H52" s="15">
        <v>82.859123546199996</v>
      </c>
      <c r="I52">
        <v>2024</v>
      </c>
      <c r="J52">
        <v>0.414914643054</v>
      </c>
      <c r="K52">
        <v>6.76852455903E-3</v>
      </c>
    </row>
    <row r="53" spans="1:11" x14ac:dyDescent="0.3">
      <c r="A53" s="14" t="s">
        <v>537</v>
      </c>
      <c r="B53" s="14" t="s">
        <v>683</v>
      </c>
      <c r="C53" s="14" t="s">
        <v>247</v>
      </c>
      <c r="D53" s="14" t="s">
        <v>539</v>
      </c>
      <c r="E53" s="14" t="s">
        <v>684</v>
      </c>
      <c r="F53" s="14" t="s">
        <v>685</v>
      </c>
      <c r="G53" s="14" t="s">
        <v>542</v>
      </c>
      <c r="H53" s="15">
        <v>332.20462843000001</v>
      </c>
      <c r="I53">
        <v>2024</v>
      </c>
      <c r="J53">
        <v>0.90654947450300005</v>
      </c>
      <c r="K53">
        <v>2.7159532314899999E-2</v>
      </c>
    </row>
    <row r="54" spans="1:11" x14ac:dyDescent="0.3">
      <c r="A54" s="14" t="s">
        <v>537</v>
      </c>
      <c r="B54" s="14" t="s">
        <v>686</v>
      </c>
      <c r="C54" s="14" t="s">
        <v>249</v>
      </c>
      <c r="D54" s="14" t="s">
        <v>539</v>
      </c>
      <c r="E54" s="14" t="s">
        <v>687</v>
      </c>
      <c r="F54" s="14" t="s">
        <v>688</v>
      </c>
      <c r="G54" s="14" t="s">
        <v>542</v>
      </c>
      <c r="H54" s="15">
        <v>190.225121317</v>
      </c>
      <c r="I54">
        <v>2024</v>
      </c>
      <c r="J54">
        <v>0.76396127711200001</v>
      </c>
      <c r="K54">
        <v>1.5535173517199999E-2</v>
      </c>
    </row>
    <row r="55" spans="1:11" x14ac:dyDescent="0.3">
      <c r="A55" s="14" t="s">
        <v>537</v>
      </c>
      <c r="B55" s="14" t="s">
        <v>689</v>
      </c>
      <c r="C55" s="14" t="s">
        <v>251</v>
      </c>
      <c r="D55" s="14" t="s">
        <v>539</v>
      </c>
      <c r="E55" s="14" t="s">
        <v>690</v>
      </c>
      <c r="F55" s="14" t="s">
        <v>691</v>
      </c>
      <c r="G55" s="14" t="s">
        <v>542</v>
      </c>
      <c r="H55" s="15">
        <v>118.207933506</v>
      </c>
      <c r="I55">
        <v>2024</v>
      </c>
      <c r="J55">
        <v>0.494100106456</v>
      </c>
      <c r="K55">
        <v>9.66689304656E-3</v>
      </c>
    </row>
    <row r="56" spans="1:11" x14ac:dyDescent="0.3">
      <c r="A56" s="14" t="s">
        <v>537</v>
      </c>
      <c r="B56" s="14" t="s">
        <v>692</v>
      </c>
      <c r="C56" s="14" t="s">
        <v>253</v>
      </c>
      <c r="D56" s="14" t="s">
        <v>539</v>
      </c>
      <c r="E56" s="14" t="s">
        <v>693</v>
      </c>
      <c r="F56" s="14" t="s">
        <v>688</v>
      </c>
      <c r="G56" s="14" t="s">
        <v>542</v>
      </c>
      <c r="H56" s="15">
        <v>151.84300990200001</v>
      </c>
      <c r="I56">
        <v>2024</v>
      </c>
      <c r="J56">
        <v>0.70442665792699999</v>
      </c>
      <c r="K56">
        <v>1.2401084130599999E-2</v>
      </c>
    </row>
    <row r="57" spans="1:11" x14ac:dyDescent="0.3">
      <c r="A57" s="14" t="s">
        <v>537</v>
      </c>
      <c r="B57" s="14" t="s">
        <v>694</v>
      </c>
      <c r="C57" s="14" t="s">
        <v>255</v>
      </c>
      <c r="D57" s="14" t="s">
        <v>539</v>
      </c>
      <c r="E57" s="14" t="s">
        <v>695</v>
      </c>
      <c r="F57" s="14" t="s">
        <v>696</v>
      </c>
      <c r="G57" s="14" t="s">
        <v>542</v>
      </c>
      <c r="H57" s="15">
        <v>83.326889125899996</v>
      </c>
      <c r="I57">
        <v>2024</v>
      </c>
      <c r="J57">
        <v>0.500451791398</v>
      </c>
      <c r="K57">
        <v>6.8064832461900001E-3</v>
      </c>
    </row>
    <row r="58" spans="1:11" x14ac:dyDescent="0.3">
      <c r="A58" s="14" t="s">
        <v>537</v>
      </c>
      <c r="B58" s="14" t="s">
        <v>697</v>
      </c>
      <c r="C58" s="14" t="s">
        <v>257</v>
      </c>
      <c r="D58" s="14" t="s">
        <v>539</v>
      </c>
      <c r="E58" s="14" t="s">
        <v>698</v>
      </c>
      <c r="F58" s="14" t="s">
        <v>699</v>
      </c>
      <c r="G58" s="14" t="s">
        <v>542</v>
      </c>
      <c r="H58" s="15">
        <v>114.884755445</v>
      </c>
      <c r="I58">
        <v>2024</v>
      </c>
      <c r="J58">
        <v>0.54032934433199997</v>
      </c>
      <c r="K58">
        <v>9.3790838509999995E-3</v>
      </c>
    </row>
    <row r="59" spans="1:11" x14ac:dyDescent="0.3">
      <c r="A59" s="14" t="s">
        <v>537</v>
      </c>
      <c r="B59" s="14" t="s">
        <v>700</v>
      </c>
      <c r="C59" s="14" t="s">
        <v>259</v>
      </c>
      <c r="D59" s="14" t="s">
        <v>539</v>
      </c>
      <c r="E59" s="14" t="s">
        <v>701</v>
      </c>
      <c r="F59" s="14" t="s">
        <v>702</v>
      </c>
      <c r="G59" s="14" t="s">
        <v>542</v>
      </c>
      <c r="H59" s="15">
        <v>54.182120662999999</v>
      </c>
      <c r="I59">
        <v>2024</v>
      </c>
      <c r="J59">
        <v>0.34415828700700002</v>
      </c>
      <c r="K59">
        <v>4.4193207472499997E-3</v>
      </c>
    </row>
    <row r="60" spans="1:11" x14ac:dyDescent="0.3">
      <c r="A60" s="14" t="s">
        <v>537</v>
      </c>
      <c r="B60" s="14" t="s">
        <v>703</v>
      </c>
      <c r="C60" s="14" t="s">
        <v>261</v>
      </c>
      <c r="D60" s="14" t="s">
        <v>539</v>
      </c>
      <c r="E60" s="14" t="s">
        <v>704</v>
      </c>
      <c r="F60" s="14" t="s">
        <v>705</v>
      </c>
      <c r="G60" s="14" t="s">
        <v>542</v>
      </c>
      <c r="H60" s="15">
        <v>19.649555271299999</v>
      </c>
      <c r="I60">
        <v>2024</v>
      </c>
      <c r="J60">
        <v>0.21241950152399999</v>
      </c>
      <c r="K60">
        <v>1.6042785302900001E-3</v>
      </c>
    </row>
    <row r="61" spans="1:11" x14ac:dyDescent="0.3">
      <c r="A61" s="14" t="s">
        <v>537</v>
      </c>
      <c r="B61" s="14" t="s">
        <v>706</v>
      </c>
      <c r="C61" s="14" t="s">
        <v>263</v>
      </c>
      <c r="D61" s="14" t="s">
        <v>539</v>
      </c>
      <c r="E61" s="14" t="s">
        <v>707</v>
      </c>
      <c r="F61" s="14" t="s">
        <v>708</v>
      </c>
      <c r="G61" s="14" t="s">
        <v>542</v>
      </c>
      <c r="H61" s="15">
        <v>2841.1160880900002</v>
      </c>
      <c r="I61">
        <v>2024</v>
      </c>
      <c r="J61">
        <v>3.2020136032500002</v>
      </c>
      <c r="K61">
        <v>0.232428496953</v>
      </c>
    </row>
    <row r="62" spans="1:11" x14ac:dyDescent="0.3">
      <c r="A62" s="14" t="s">
        <v>537</v>
      </c>
      <c r="B62" s="14" t="s">
        <v>709</v>
      </c>
      <c r="C62" s="14" t="s">
        <v>265</v>
      </c>
      <c r="D62" s="14" t="s">
        <v>539</v>
      </c>
      <c r="E62" s="14" t="s">
        <v>710</v>
      </c>
      <c r="F62" s="14" t="s">
        <v>711</v>
      </c>
      <c r="G62" s="14" t="s">
        <v>542</v>
      </c>
      <c r="H62" s="15">
        <v>201.199157673</v>
      </c>
      <c r="I62">
        <v>2024</v>
      </c>
      <c r="J62">
        <v>0.71658769842199999</v>
      </c>
      <c r="K62">
        <v>1.64060767116E-2</v>
      </c>
    </row>
    <row r="63" spans="1:11" x14ac:dyDescent="0.3">
      <c r="A63" s="14" t="s">
        <v>537</v>
      </c>
      <c r="B63" s="14" t="s">
        <v>712</v>
      </c>
      <c r="C63" s="14" t="s">
        <v>267</v>
      </c>
      <c r="D63" s="14" t="s">
        <v>539</v>
      </c>
      <c r="E63" s="14" t="s">
        <v>713</v>
      </c>
      <c r="F63" s="14" t="s">
        <v>714</v>
      </c>
      <c r="G63" s="14" t="s">
        <v>542</v>
      </c>
      <c r="H63" s="15">
        <v>205.00067575899999</v>
      </c>
      <c r="I63">
        <v>2024</v>
      </c>
      <c r="J63">
        <v>0.74270694142799998</v>
      </c>
      <c r="K63">
        <v>1.6722513456199999E-2</v>
      </c>
    </row>
    <row r="64" spans="1:11" x14ac:dyDescent="0.3">
      <c r="A64" s="14" t="s">
        <v>537</v>
      </c>
      <c r="B64" s="14" t="s">
        <v>715</v>
      </c>
      <c r="C64" s="14" t="s">
        <v>269</v>
      </c>
      <c r="D64" s="14" t="s">
        <v>539</v>
      </c>
      <c r="E64" s="14" t="s">
        <v>716</v>
      </c>
      <c r="F64" s="14" t="s">
        <v>717</v>
      </c>
      <c r="G64" s="14" t="s">
        <v>542</v>
      </c>
      <c r="H64" s="15">
        <v>132.71928526400001</v>
      </c>
      <c r="I64">
        <v>2024</v>
      </c>
      <c r="J64">
        <v>0.65633482240200003</v>
      </c>
      <c r="K64">
        <v>1.08338731905E-2</v>
      </c>
    </row>
    <row r="65" spans="1:11" x14ac:dyDescent="0.3">
      <c r="A65" s="14" t="s">
        <v>537</v>
      </c>
      <c r="B65" s="14" t="s">
        <v>718</v>
      </c>
      <c r="C65" s="14" t="s">
        <v>271</v>
      </c>
      <c r="D65" s="14" t="s">
        <v>539</v>
      </c>
      <c r="E65" s="14" t="s">
        <v>719</v>
      </c>
      <c r="F65" s="14" t="s">
        <v>663</v>
      </c>
      <c r="G65" s="14" t="s">
        <v>542</v>
      </c>
      <c r="H65" s="15">
        <v>36.807340511</v>
      </c>
      <c r="I65">
        <v>2024</v>
      </c>
      <c r="J65">
        <v>0.277138166287</v>
      </c>
      <c r="K65">
        <v>3.0047896161600001E-3</v>
      </c>
    </row>
    <row r="66" spans="1:11" x14ac:dyDescent="0.3">
      <c r="A66" s="14" t="s">
        <v>537</v>
      </c>
      <c r="B66" s="14" t="s">
        <v>720</v>
      </c>
      <c r="C66" s="14" t="s">
        <v>273</v>
      </c>
      <c r="D66" s="14" t="s">
        <v>539</v>
      </c>
      <c r="E66" s="14" t="s">
        <v>721</v>
      </c>
      <c r="F66" s="14" t="s">
        <v>722</v>
      </c>
      <c r="G66" s="14" t="s">
        <v>542</v>
      </c>
      <c r="H66" s="15">
        <v>54.636079594500004</v>
      </c>
      <c r="I66">
        <v>2024</v>
      </c>
      <c r="J66">
        <v>0.45615180511300002</v>
      </c>
      <c r="K66">
        <v>4.4573575122999996E-3</v>
      </c>
    </row>
    <row r="67" spans="1:11" x14ac:dyDescent="0.3">
      <c r="A67" s="14" t="s">
        <v>537</v>
      </c>
      <c r="B67" s="14" t="s">
        <v>723</v>
      </c>
      <c r="C67" s="14" t="s">
        <v>275</v>
      </c>
      <c r="D67" s="14" t="s">
        <v>539</v>
      </c>
      <c r="E67" s="14" t="s">
        <v>724</v>
      </c>
      <c r="F67" s="14" t="s">
        <v>725</v>
      </c>
      <c r="G67" s="14" t="s">
        <v>542</v>
      </c>
      <c r="H67" s="15">
        <v>167.739650165</v>
      </c>
      <c r="I67">
        <v>2024</v>
      </c>
      <c r="J67">
        <v>0.67967149401299998</v>
      </c>
      <c r="K67">
        <v>1.36921523645E-2</v>
      </c>
    </row>
    <row r="68" spans="1:11" x14ac:dyDescent="0.3">
      <c r="A68" s="14" t="s">
        <v>537</v>
      </c>
      <c r="B68" s="14" t="s">
        <v>726</v>
      </c>
      <c r="C68" s="14" t="s">
        <v>277</v>
      </c>
      <c r="D68" s="14" t="s">
        <v>539</v>
      </c>
      <c r="E68" s="14" t="s">
        <v>727</v>
      </c>
      <c r="F68" s="14" t="s">
        <v>663</v>
      </c>
      <c r="G68" s="14" t="s">
        <v>542</v>
      </c>
      <c r="H68" s="15">
        <v>216.41644316099999</v>
      </c>
      <c r="I68">
        <v>2024</v>
      </c>
      <c r="J68">
        <v>0.67105934960900004</v>
      </c>
      <c r="K68">
        <v>1.7684815539799999E-2</v>
      </c>
    </row>
    <row r="69" spans="1:11" x14ac:dyDescent="0.3">
      <c r="A69" s="14" t="s">
        <v>537</v>
      </c>
      <c r="B69" s="14" t="s">
        <v>728</v>
      </c>
      <c r="C69" s="14" t="s">
        <v>279</v>
      </c>
      <c r="D69" s="14" t="s">
        <v>539</v>
      </c>
      <c r="E69" s="14" t="s">
        <v>729</v>
      </c>
      <c r="F69" s="14" t="s">
        <v>730</v>
      </c>
      <c r="G69" s="14" t="s">
        <v>542</v>
      </c>
      <c r="H69" s="15">
        <v>455.64590205899998</v>
      </c>
      <c r="I69">
        <v>2024</v>
      </c>
      <c r="J69">
        <v>1.4615503997399999</v>
      </c>
      <c r="K69">
        <v>3.7248562042199999E-2</v>
      </c>
    </row>
    <row r="70" spans="1:11" x14ac:dyDescent="0.3">
      <c r="A70" s="14" t="s">
        <v>537</v>
      </c>
      <c r="B70" s="14" t="s">
        <v>731</v>
      </c>
      <c r="C70" s="14" t="s">
        <v>281</v>
      </c>
      <c r="D70" s="14" t="s">
        <v>539</v>
      </c>
      <c r="E70" s="14" t="s">
        <v>732</v>
      </c>
      <c r="F70" s="14" t="s">
        <v>733</v>
      </c>
      <c r="G70" s="14" t="s">
        <v>542</v>
      </c>
      <c r="H70" s="15">
        <v>112.286049327</v>
      </c>
      <c r="I70">
        <v>2024</v>
      </c>
      <c r="J70">
        <v>0.59941610261099998</v>
      </c>
      <c r="K70">
        <v>9.1700497215199996E-3</v>
      </c>
    </row>
    <row r="71" spans="1:11" x14ac:dyDescent="0.3">
      <c r="A71" s="14" t="s">
        <v>537</v>
      </c>
      <c r="B71" s="14" t="s">
        <v>734</v>
      </c>
      <c r="C71" s="14" t="s">
        <v>283</v>
      </c>
      <c r="D71" s="14" t="s">
        <v>539</v>
      </c>
      <c r="E71" s="14" t="s">
        <v>735</v>
      </c>
      <c r="F71" s="14" t="s">
        <v>736</v>
      </c>
      <c r="G71" s="14" t="s">
        <v>542</v>
      </c>
      <c r="H71" s="15">
        <v>76.0214720309</v>
      </c>
      <c r="I71">
        <v>2024</v>
      </c>
      <c r="J71">
        <v>0.47215923348400002</v>
      </c>
      <c r="K71">
        <v>6.2043308499400004E-3</v>
      </c>
    </row>
    <row r="72" spans="1:11" x14ac:dyDescent="0.3">
      <c r="A72" s="14" t="s">
        <v>537</v>
      </c>
      <c r="B72" s="14" t="s">
        <v>737</v>
      </c>
      <c r="C72" s="14" t="s">
        <v>285</v>
      </c>
      <c r="D72" s="14" t="s">
        <v>539</v>
      </c>
      <c r="E72" s="14" t="s">
        <v>738</v>
      </c>
      <c r="F72" s="14" t="s">
        <v>739</v>
      </c>
      <c r="G72" s="14" t="s">
        <v>542</v>
      </c>
      <c r="H72" s="15">
        <v>1266.2015605199999</v>
      </c>
      <c r="I72">
        <v>2024</v>
      </c>
      <c r="J72">
        <v>1.8733793223899999</v>
      </c>
      <c r="K72">
        <v>0.103365979833</v>
      </c>
    </row>
    <row r="73" spans="1:11" x14ac:dyDescent="0.3">
      <c r="A73" s="14" t="s">
        <v>537</v>
      </c>
      <c r="B73" s="14" t="s">
        <v>740</v>
      </c>
      <c r="C73" s="14" t="s">
        <v>287</v>
      </c>
      <c r="D73" s="14" t="s">
        <v>539</v>
      </c>
      <c r="E73" s="14" t="s">
        <v>741</v>
      </c>
      <c r="F73" s="14" t="s">
        <v>742</v>
      </c>
      <c r="G73" s="14" t="s">
        <v>542</v>
      </c>
      <c r="H73" s="15">
        <v>1074.9473129800001</v>
      </c>
      <c r="I73">
        <v>2024</v>
      </c>
      <c r="J73">
        <v>1.6606101120800001</v>
      </c>
      <c r="K73">
        <v>8.7878841971800001E-2</v>
      </c>
    </row>
    <row r="74" spans="1:11" x14ac:dyDescent="0.3">
      <c r="A74" s="14" t="s">
        <v>537</v>
      </c>
      <c r="B74" s="14" t="s">
        <v>743</v>
      </c>
      <c r="C74" s="14" t="s">
        <v>289</v>
      </c>
      <c r="D74" s="14" t="s">
        <v>539</v>
      </c>
      <c r="E74" s="14" t="s">
        <v>744</v>
      </c>
      <c r="F74" s="14" t="s">
        <v>745</v>
      </c>
      <c r="G74" s="14" t="s">
        <v>542</v>
      </c>
      <c r="H74" s="15">
        <v>316.76741830100002</v>
      </c>
      <c r="I74">
        <v>2024</v>
      </c>
      <c r="J74">
        <v>0.99118704906300004</v>
      </c>
      <c r="K74">
        <v>2.5843968640599999E-2</v>
      </c>
    </row>
    <row r="75" spans="1:11" x14ac:dyDescent="0.3">
      <c r="A75" s="14" t="s">
        <v>537</v>
      </c>
      <c r="B75" s="14" t="s">
        <v>746</v>
      </c>
      <c r="C75" s="14" t="s">
        <v>293</v>
      </c>
      <c r="D75" s="14" t="s">
        <v>539</v>
      </c>
      <c r="E75" s="14" t="s">
        <v>747</v>
      </c>
      <c r="F75" s="14" t="s">
        <v>748</v>
      </c>
      <c r="G75" s="14" t="s">
        <v>542</v>
      </c>
      <c r="H75" s="15">
        <v>1255.5854784600001</v>
      </c>
      <c r="I75">
        <v>2024</v>
      </c>
      <c r="J75">
        <v>2.4149007028799998</v>
      </c>
      <c r="K75">
        <v>0.102896926146</v>
      </c>
    </row>
    <row r="76" spans="1:11" x14ac:dyDescent="0.3">
      <c r="A76" s="14" t="s">
        <v>537</v>
      </c>
      <c r="B76" s="14" t="s">
        <v>749</v>
      </c>
      <c r="C76" s="14" t="s">
        <v>291</v>
      </c>
      <c r="D76" s="14" t="s">
        <v>539</v>
      </c>
      <c r="E76" s="14" t="s">
        <v>750</v>
      </c>
      <c r="F76" s="14" t="s">
        <v>751</v>
      </c>
      <c r="G76" s="14" t="s">
        <v>542</v>
      </c>
      <c r="H76" s="15">
        <v>937.32294476100003</v>
      </c>
      <c r="I76">
        <v>2024</v>
      </c>
      <c r="J76">
        <v>2.0719807274100002</v>
      </c>
      <c r="K76">
        <v>7.6863726454399997E-2</v>
      </c>
    </row>
    <row r="77" spans="1:11" x14ac:dyDescent="0.3">
      <c r="A77" s="14" t="s">
        <v>537</v>
      </c>
      <c r="B77" s="14" t="s">
        <v>752</v>
      </c>
      <c r="C77" s="14" t="s">
        <v>295</v>
      </c>
      <c r="D77" s="14" t="s">
        <v>539</v>
      </c>
      <c r="E77" s="14" t="s">
        <v>753</v>
      </c>
      <c r="F77" s="14" t="s">
        <v>677</v>
      </c>
      <c r="G77" s="14" t="s">
        <v>542</v>
      </c>
      <c r="H77" s="15">
        <v>86.986191841199997</v>
      </c>
      <c r="I77">
        <v>2024</v>
      </c>
      <c r="J77">
        <v>0.47104026685200001</v>
      </c>
      <c r="K77">
        <v>7.1066789104299996E-3</v>
      </c>
    </row>
    <row r="78" spans="1:11" x14ac:dyDescent="0.3">
      <c r="A78" s="14" t="s">
        <v>537</v>
      </c>
      <c r="B78" s="14" t="s">
        <v>754</v>
      </c>
      <c r="C78" s="14" t="s">
        <v>229</v>
      </c>
      <c r="D78" s="14" t="s">
        <v>539</v>
      </c>
      <c r="E78" s="14" t="s">
        <v>755</v>
      </c>
      <c r="F78" s="14" t="s">
        <v>756</v>
      </c>
      <c r="G78" s="14" t="s">
        <v>542</v>
      </c>
      <c r="H78" s="15">
        <v>118.314349783</v>
      </c>
      <c r="I78">
        <v>2024</v>
      </c>
      <c r="J78">
        <v>0.61875587055199999</v>
      </c>
      <c r="K78">
        <v>9.6637384095600003E-3</v>
      </c>
    </row>
    <row r="79" spans="1:11" x14ac:dyDescent="0.3">
      <c r="A79" s="14" t="s">
        <v>537</v>
      </c>
      <c r="B79" s="14" t="s">
        <v>757</v>
      </c>
      <c r="C79" s="14" t="s">
        <v>297</v>
      </c>
      <c r="D79" s="14" t="s">
        <v>539</v>
      </c>
      <c r="E79" s="14" t="s">
        <v>758</v>
      </c>
      <c r="F79" s="14" t="s">
        <v>759</v>
      </c>
      <c r="G79" s="14" t="s">
        <v>542</v>
      </c>
      <c r="H79" s="15">
        <v>434.06904345800001</v>
      </c>
      <c r="I79">
        <v>2024</v>
      </c>
      <c r="J79">
        <v>1.1207953317499999</v>
      </c>
      <c r="K79">
        <v>3.5489988771500003E-2</v>
      </c>
    </row>
    <row r="80" spans="1:11" x14ac:dyDescent="0.3">
      <c r="A80" s="14" t="s">
        <v>537</v>
      </c>
      <c r="B80" s="14" t="s">
        <v>760</v>
      </c>
      <c r="C80" s="14" t="s">
        <v>299</v>
      </c>
      <c r="D80" s="14" t="s">
        <v>539</v>
      </c>
      <c r="E80" s="14" t="s">
        <v>761</v>
      </c>
      <c r="F80" s="14" t="s">
        <v>762</v>
      </c>
      <c r="G80" s="14" t="s">
        <v>542</v>
      </c>
      <c r="H80" s="15">
        <v>75.432859726299995</v>
      </c>
      <c r="I80">
        <v>2024</v>
      </c>
      <c r="J80">
        <v>0.54771423214199999</v>
      </c>
      <c r="K80">
        <v>6.1530853816800001E-3</v>
      </c>
    </row>
    <row r="81" spans="1:11" x14ac:dyDescent="0.3">
      <c r="A81" s="14" t="s">
        <v>537</v>
      </c>
      <c r="B81" s="14" t="s">
        <v>763</v>
      </c>
      <c r="C81" s="14" t="s">
        <v>301</v>
      </c>
      <c r="D81" s="14" t="s">
        <v>539</v>
      </c>
      <c r="E81" s="14" t="s">
        <v>764</v>
      </c>
      <c r="F81" s="14" t="s">
        <v>765</v>
      </c>
      <c r="G81" s="14" t="s">
        <v>542</v>
      </c>
      <c r="H81" s="15">
        <v>1220.1091745199999</v>
      </c>
      <c r="I81">
        <v>2024</v>
      </c>
      <c r="J81">
        <v>1.9023419555300001</v>
      </c>
      <c r="K81">
        <v>9.9737292173700004E-2</v>
      </c>
    </row>
    <row r="82" spans="1:11" x14ac:dyDescent="0.3">
      <c r="A82" s="14" t="s">
        <v>537</v>
      </c>
      <c r="B82" s="14" t="s">
        <v>766</v>
      </c>
      <c r="C82" s="14" t="s">
        <v>303</v>
      </c>
      <c r="D82" s="14" t="s">
        <v>539</v>
      </c>
      <c r="E82" s="14" t="s">
        <v>767</v>
      </c>
      <c r="F82" s="14" t="s">
        <v>576</v>
      </c>
      <c r="G82" s="14" t="s">
        <v>542</v>
      </c>
      <c r="H82" s="15">
        <v>579.55984428900001</v>
      </c>
      <c r="I82">
        <v>2024</v>
      </c>
      <c r="J82">
        <v>1.3492676537399999</v>
      </c>
      <c r="K82">
        <v>4.7342984998300003E-2</v>
      </c>
    </row>
    <row r="83" spans="1:11" x14ac:dyDescent="0.3">
      <c r="A83" s="14" t="s">
        <v>537</v>
      </c>
      <c r="B83" s="14" t="s">
        <v>768</v>
      </c>
      <c r="C83" s="14" t="s">
        <v>305</v>
      </c>
      <c r="D83" s="14" t="s">
        <v>539</v>
      </c>
      <c r="E83" s="14" t="s">
        <v>769</v>
      </c>
      <c r="F83" s="14" t="s">
        <v>770</v>
      </c>
      <c r="G83" s="14" t="s">
        <v>542</v>
      </c>
      <c r="H83" s="15">
        <v>369.58566246300001</v>
      </c>
      <c r="I83">
        <v>2024</v>
      </c>
      <c r="J83">
        <v>0.99299493810100004</v>
      </c>
      <c r="K83">
        <v>3.0180602411500002E-2</v>
      </c>
    </row>
    <row r="84" spans="1:11" x14ac:dyDescent="0.3">
      <c r="A84" s="14" t="s">
        <v>537</v>
      </c>
      <c r="B84" s="14" t="s">
        <v>771</v>
      </c>
      <c r="C84" s="14" t="s">
        <v>307</v>
      </c>
      <c r="D84" s="14" t="s">
        <v>539</v>
      </c>
      <c r="E84" s="14" t="s">
        <v>772</v>
      </c>
      <c r="F84" s="14" t="s">
        <v>773</v>
      </c>
      <c r="G84" s="14" t="s">
        <v>542</v>
      </c>
      <c r="H84" s="15">
        <v>1966.84180735</v>
      </c>
      <c r="I84">
        <v>2024</v>
      </c>
      <c r="J84">
        <v>3.16253731265</v>
      </c>
      <c r="K84">
        <v>0.16094356054799999</v>
      </c>
    </row>
    <row r="85" spans="1:11" x14ac:dyDescent="0.3">
      <c r="A85" s="14" t="s">
        <v>537</v>
      </c>
      <c r="B85" s="14" t="s">
        <v>774</v>
      </c>
      <c r="C85" s="14" t="s">
        <v>231</v>
      </c>
      <c r="D85" s="14" t="s">
        <v>539</v>
      </c>
      <c r="E85" s="14" t="s">
        <v>775</v>
      </c>
      <c r="F85" s="14" t="s">
        <v>545</v>
      </c>
      <c r="G85" s="14" t="s">
        <v>542</v>
      </c>
      <c r="H85" s="15">
        <v>242.01893869599999</v>
      </c>
      <c r="I85">
        <v>2024</v>
      </c>
      <c r="J85">
        <v>0.775447052937</v>
      </c>
      <c r="K85">
        <v>1.9756725058499999E-2</v>
      </c>
    </row>
    <row r="86" spans="1:11" x14ac:dyDescent="0.3">
      <c r="A86" s="14" t="s">
        <v>537</v>
      </c>
      <c r="B86" s="14" t="s">
        <v>776</v>
      </c>
      <c r="C86" s="14" t="s">
        <v>309</v>
      </c>
      <c r="D86" s="14" t="s">
        <v>539</v>
      </c>
      <c r="E86" s="14" t="s">
        <v>777</v>
      </c>
      <c r="F86" s="14" t="s">
        <v>778</v>
      </c>
      <c r="G86" s="14" t="s">
        <v>542</v>
      </c>
      <c r="H86" s="15">
        <v>195.91096419499999</v>
      </c>
      <c r="I86">
        <v>2024</v>
      </c>
      <c r="J86">
        <v>0.89360266696699997</v>
      </c>
      <c r="K86">
        <v>1.5997049824399999E-2</v>
      </c>
    </row>
    <row r="87" spans="1:11" x14ac:dyDescent="0.3">
      <c r="A87" s="14" t="s">
        <v>537</v>
      </c>
      <c r="B87" s="14" t="s">
        <v>779</v>
      </c>
      <c r="C87" s="14" t="s">
        <v>311</v>
      </c>
      <c r="D87" s="14" t="s">
        <v>539</v>
      </c>
      <c r="E87" s="14" t="s">
        <v>780</v>
      </c>
      <c r="F87" s="14" t="s">
        <v>781</v>
      </c>
      <c r="G87" s="14" t="s">
        <v>542</v>
      </c>
      <c r="H87" s="15">
        <v>265.76441608599998</v>
      </c>
      <c r="I87">
        <v>2024</v>
      </c>
      <c r="J87">
        <v>0.86699034970099997</v>
      </c>
      <c r="K87">
        <v>2.1724991863799999E-2</v>
      </c>
    </row>
    <row r="88" spans="1:11" x14ac:dyDescent="0.3">
      <c r="A88" s="14" t="s">
        <v>537</v>
      </c>
      <c r="B88" s="14" t="s">
        <v>782</v>
      </c>
      <c r="C88" s="14" t="s">
        <v>313</v>
      </c>
      <c r="D88" s="14" t="s">
        <v>539</v>
      </c>
      <c r="E88" s="14" t="s">
        <v>783</v>
      </c>
      <c r="F88" s="14" t="s">
        <v>784</v>
      </c>
      <c r="G88" s="14" t="s">
        <v>542</v>
      </c>
      <c r="H88" s="15">
        <v>15.659282936</v>
      </c>
      <c r="I88">
        <v>2024</v>
      </c>
      <c r="J88">
        <v>0.165819764648</v>
      </c>
      <c r="K88">
        <v>1.2784051640299999E-3</v>
      </c>
    </row>
    <row r="89" spans="1:11" x14ac:dyDescent="0.3">
      <c r="A89" s="14" t="s">
        <v>537</v>
      </c>
      <c r="B89" s="14" t="s">
        <v>785</v>
      </c>
      <c r="C89" s="14" t="s">
        <v>315</v>
      </c>
      <c r="D89" s="14" t="s">
        <v>539</v>
      </c>
      <c r="E89" s="14" t="s">
        <v>786</v>
      </c>
      <c r="F89" s="14" t="s">
        <v>787</v>
      </c>
      <c r="G89" s="14" t="s">
        <v>542</v>
      </c>
      <c r="H89" s="15">
        <v>288.23494197399998</v>
      </c>
      <c r="I89">
        <v>2024</v>
      </c>
      <c r="J89">
        <v>0.89982828557100003</v>
      </c>
      <c r="K89">
        <v>2.3514880904300001E-2</v>
      </c>
    </row>
    <row r="90" spans="1:11" x14ac:dyDescent="0.3">
      <c r="A90" s="14" t="s">
        <v>537</v>
      </c>
      <c r="B90" s="14" t="s">
        <v>788</v>
      </c>
      <c r="C90" s="14" t="s">
        <v>317</v>
      </c>
      <c r="D90" s="14" t="s">
        <v>539</v>
      </c>
      <c r="E90" s="14" t="s">
        <v>789</v>
      </c>
      <c r="F90" s="14" t="s">
        <v>790</v>
      </c>
      <c r="G90" s="14" t="s">
        <v>542</v>
      </c>
      <c r="H90" s="15">
        <v>206.862429392</v>
      </c>
      <c r="I90">
        <v>2024</v>
      </c>
      <c r="J90">
        <v>0.87407752992099996</v>
      </c>
      <c r="K90">
        <v>1.6912635232500001E-2</v>
      </c>
    </row>
    <row r="91" spans="1:11" x14ac:dyDescent="0.3">
      <c r="A91" s="14" t="s">
        <v>537</v>
      </c>
      <c r="B91" s="14" t="s">
        <v>791</v>
      </c>
      <c r="C91" s="14" t="s">
        <v>319</v>
      </c>
      <c r="D91" s="14" t="s">
        <v>539</v>
      </c>
      <c r="E91" s="14" t="s">
        <v>792</v>
      </c>
      <c r="F91" s="14" t="s">
        <v>793</v>
      </c>
      <c r="G91" s="14" t="s">
        <v>542</v>
      </c>
      <c r="H91" s="15">
        <v>716.91903398600004</v>
      </c>
      <c r="I91">
        <v>2024</v>
      </c>
      <c r="J91">
        <v>1.4053025374300001</v>
      </c>
      <c r="K91">
        <v>5.8563685368200002E-2</v>
      </c>
    </row>
    <row r="92" spans="1:11" x14ac:dyDescent="0.3">
      <c r="A92" s="14" t="s">
        <v>537</v>
      </c>
      <c r="B92" s="14" t="s">
        <v>794</v>
      </c>
      <c r="C92" s="14" t="s">
        <v>321</v>
      </c>
      <c r="D92" s="14" t="s">
        <v>539</v>
      </c>
      <c r="E92" s="14" t="s">
        <v>795</v>
      </c>
      <c r="F92" s="14" t="s">
        <v>796</v>
      </c>
      <c r="G92" s="14" t="s">
        <v>542</v>
      </c>
      <c r="H92" s="15">
        <v>354.43552145400002</v>
      </c>
      <c r="I92">
        <v>2024</v>
      </c>
      <c r="J92">
        <v>1.12713001425</v>
      </c>
      <c r="K92">
        <v>2.8935722911500001E-2</v>
      </c>
    </row>
    <row r="93" spans="1:11" x14ac:dyDescent="0.3">
      <c r="A93" s="14" t="s">
        <v>537</v>
      </c>
      <c r="B93" s="14" t="s">
        <v>797</v>
      </c>
      <c r="C93" s="14" t="s">
        <v>323</v>
      </c>
      <c r="D93" s="14" t="s">
        <v>539</v>
      </c>
      <c r="E93" s="14" t="s">
        <v>798</v>
      </c>
      <c r="F93" s="14" t="s">
        <v>799</v>
      </c>
      <c r="G93" s="14" t="s">
        <v>542</v>
      </c>
      <c r="H93" s="15">
        <v>161.26572003699999</v>
      </c>
      <c r="I93">
        <v>2024</v>
      </c>
      <c r="J93">
        <v>0.56721398364800002</v>
      </c>
      <c r="K93">
        <v>1.31717571256E-2</v>
      </c>
    </row>
    <row r="94" spans="1:11" x14ac:dyDescent="0.3">
      <c r="A94" s="14" t="s">
        <v>537</v>
      </c>
      <c r="B94" s="14" t="s">
        <v>800</v>
      </c>
      <c r="C94" s="14" t="s">
        <v>325</v>
      </c>
      <c r="D94" s="14" t="s">
        <v>539</v>
      </c>
      <c r="E94" s="14" t="s">
        <v>801</v>
      </c>
      <c r="F94" s="14" t="s">
        <v>691</v>
      </c>
      <c r="G94" s="14" t="s">
        <v>542</v>
      </c>
      <c r="H94" s="15">
        <v>126.073583685</v>
      </c>
      <c r="I94">
        <v>2024</v>
      </c>
      <c r="J94">
        <v>0.49545437226799999</v>
      </c>
      <c r="K94">
        <v>1.03054582007E-2</v>
      </c>
    </row>
    <row r="95" spans="1:11" x14ac:dyDescent="0.3">
      <c r="A95" s="14" t="s">
        <v>537</v>
      </c>
      <c r="B95" s="14" t="s">
        <v>802</v>
      </c>
      <c r="C95" s="14" t="s">
        <v>327</v>
      </c>
      <c r="D95" s="14" t="s">
        <v>539</v>
      </c>
      <c r="E95" s="14" t="s">
        <v>803</v>
      </c>
      <c r="F95" s="14" t="s">
        <v>804</v>
      </c>
      <c r="G95" s="14" t="s">
        <v>542</v>
      </c>
      <c r="H95" s="15">
        <v>252.03438434099999</v>
      </c>
      <c r="I95">
        <v>2024</v>
      </c>
      <c r="J95">
        <v>0.81020529423300003</v>
      </c>
      <c r="K95">
        <v>2.0670498994900002E-2</v>
      </c>
    </row>
    <row r="96" spans="1:11" x14ac:dyDescent="0.3">
      <c r="A96" s="14" t="s">
        <v>537</v>
      </c>
      <c r="B96" s="14" t="s">
        <v>805</v>
      </c>
      <c r="C96" s="14" t="s">
        <v>329</v>
      </c>
      <c r="D96" s="14" t="s">
        <v>539</v>
      </c>
      <c r="E96" s="14" t="s">
        <v>806</v>
      </c>
      <c r="F96" s="14" t="s">
        <v>807</v>
      </c>
      <c r="G96" s="14" t="s">
        <v>542</v>
      </c>
      <c r="H96" s="15">
        <v>518.70147002099998</v>
      </c>
      <c r="I96">
        <v>2024</v>
      </c>
      <c r="J96">
        <v>1.1879903565000001</v>
      </c>
      <c r="K96">
        <v>4.2357581231899998E-2</v>
      </c>
    </row>
    <row r="97" spans="1:11" x14ac:dyDescent="0.3">
      <c r="A97" s="14" t="s">
        <v>537</v>
      </c>
      <c r="B97" s="14" t="s">
        <v>808</v>
      </c>
      <c r="C97" s="14" t="s">
        <v>331</v>
      </c>
      <c r="D97" s="14" t="s">
        <v>539</v>
      </c>
      <c r="E97" s="14" t="s">
        <v>809</v>
      </c>
      <c r="F97" s="14" t="s">
        <v>573</v>
      </c>
      <c r="G97" s="14" t="s">
        <v>542</v>
      </c>
      <c r="H97" s="15">
        <v>220.923896195</v>
      </c>
      <c r="I97">
        <v>2024</v>
      </c>
      <c r="J97">
        <v>0.83030759894499995</v>
      </c>
      <c r="K97">
        <v>1.8047568430000001E-2</v>
      </c>
    </row>
    <row r="98" spans="1:11" x14ac:dyDescent="0.3">
      <c r="A98" s="14" t="s">
        <v>537</v>
      </c>
      <c r="B98" s="14" t="s">
        <v>810</v>
      </c>
      <c r="C98" s="14" t="s">
        <v>333</v>
      </c>
      <c r="D98" s="14" t="s">
        <v>539</v>
      </c>
      <c r="E98" s="14" t="s">
        <v>811</v>
      </c>
      <c r="F98" s="14" t="s">
        <v>812</v>
      </c>
      <c r="G98" s="14" t="s">
        <v>542</v>
      </c>
      <c r="H98" s="15">
        <v>602.52559461700002</v>
      </c>
      <c r="I98">
        <v>2024</v>
      </c>
      <c r="J98">
        <v>1.7093095326000001</v>
      </c>
      <c r="K98">
        <v>4.9389458244999997E-2</v>
      </c>
    </row>
    <row r="99" spans="1:11" x14ac:dyDescent="0.3">
      <c r="A99" s="14" t="s">
        <v>537</v>
      </c>
      <c r="B99" s="14" t="s">
        <v>813</v>
      </c>
      <c r="C99" s="14" t="s">
        <v>335</v>
      </c>
      <c r="D99" s="14" t="s">
        <v>539</v>
      </c>
      <c r="E99" s="14" t="s">
        <v>814</v>
      </c>
      <c r="F99" s="14" t="s">
        <v>815</v>
      </c>
      <c r="G99" s="14" t="s">
        <v>542</v>
      </c>
      <c r="H99" s="15">
        <v>363.92865835200001</v>
      </c>
      <c r="I99">
        <v>2024</v>
      </c>
      <c r="J99">
        <v>1.03959225191</v>
      </c>
      <c r="K99">
        <v>2.97336423251E-2</v>
      </c>
    </row>
    <row r="100" spans="1:11" x14ac:dyDescent="0.3">
      <c r="A100" s="14" t="s">
        <v>537</v>
      </c>
      <c r="B100" s="14" t="s">
        <v>816</v>
      </c>
      <c r="C100" s="14" t="s">
        <v>337</v>
      </c>
      <c r="D100" s="14" t="s">
        <v>539</v>
      </c>
      <c r="E100" s="14" t="s">
        <v>817</v>
      </c>
      <c r="F100" s="14" t="s">
        <v>818</v>
      </c>
      <c r="G100" s="14" t="s">
        <v>542</v>
      </c>
      <c r="H100" s="15">
        <v>424.85489772099999</v>
      </c>
      <c r="I100">
        <v>2024</v>
      </c>
      <c r="J100">
        <v>1.2207980708199999</v>
      </c>
      <c r="K100">
        <v>3.4721778107299997E-2</v>
      </c>
    </row>
    <row r="101" spans="1:11" x14ac:dyDescent="0.3">
      <c r="A101" s="14" t="s">
        <v>537</v>
      </c>
      <c r="B101" s="14" t="s">
        <v>819</v>
      </c>
      <c r="C101" s="14" t="s">
        <v>339</v>
      </c>
      <c r="D101" s="14" t="s">
        <v>539</v>
      </c>
      <c r="E101" s="14" t="s">
        <v>820</v>
      </c>
      <c r="F101" s="14" t="s">
        <v>545</v>
      </c>
      <c r="G101" s="14" t="s">
        <v>542</v>
      </c>
      <c r="H101" s="15">
        <v>230.491174298</v>
      </c>
      <c r="I101">
        <v>2024</v>
      </c>
      <c r="J101">
        <v>0.77103663313899995</v>
      </c>
      <c r="K101">
        <v>1.8827490966200001E-2</v>
      </c>
    </row>
    <row r="102" spans="1:11" x14ac:dyDescent="0.3">
      <c r="A102" s="14" t="s">
        <v>537</v>
      </c>
      <c r="B102" s="14" t="s">
        <v>821</v>
      </c>
      <c r="C102" s="14" t="s">
        <v>341</v>
      </c>
      <c r="D102" s="14" t="s">
        <v>539</v>
      </c>
      <c r="E102" s="14" t="s">
        <v>822</v>
      </c>
      <c r="F102" s="14" t="s">
        <v>823</v>
      </c>
      <c r="G102" s="14" t="s">
        <v>542</v>
      </c>
      <c r="H102" s="15">
        <v>196.16974615699999</v>
      </c>
      <c r="I102">
        <v>2024</v>
      </c>
      <c r="J102">
        <v>0.85297607988500002</v>
      </c>
      <c r="K102">
        <v>1.6008007959700001E-2</v>
      </c>
    </row>
    <row r="103" spans="1:11" x14ac:dyDescent="0.3">
      <c r="A103" s="14" t="s">
        <v>537</v>
      </c>
      <c r="B103" s="14" t="s">
        <v>824</v>
      </c>
      <c r="C103" s="14" t="s">
        <v>345</v>
      </c>
      <c r="D103" s="14" t="s">
        <v>539</v>
      </c>
      <c r="E103" s="14" t="s">
        <v>825</v>
      </c>
      <c r="F103" s="14" t="s">
        <v>545</v>
      </c>
      <c r="G103" s="14" t="s">
        <v>542</v>
      </c>
      <c r="H103" s="15">
        <v>864.79042069399998</v>
      </c>
      <c r="I103">
        <v>2024</v>
      </c>
      <c r="J103">
        <v>1.89109502999</v>
      </c>
      <c r="K103">
        <v>7.0683395940599997E-2</v>
      </c>
    </row>
    <row r="104" spans="1:11" x14ac:dyDescent="0.3">
      <c r="A104" s="14" t="s">
        <v>537</v>
      </c>
      <c r="B104" s="14" t="s">
        <v>826</v>
      </c>
      <c r="C104" s="14" t="s">
        <v>347</v>
      </c>
      <c r="D104" s="14" t="s">
        <v>539</v>
      </c>
      <c r="E104" s="14" t="s">
        <v>827</v>
      </c>
      <c r="F104" s="14" t="s">
        <v>828</v>
      </c>
      <c r="G104" s="14" t="s">
        <v>542</v>
      </c>
      <c r="H104" s="15">
        <v>265.99868322600003</v>
      </c>
      <c r="I104">
        <v>2024</v>
      </c>
      <c r="J104">
        <v>1.070341762</v>
      </c>
      <c r="K104">
        <v>2.1737771928699998E-2</v>
      </c>
    </row>
    <row r="105" spans="1:11" x14ac:dyDescent="0.3">
      <c r="A105" s="14" t="s">
        <v>537</v>
      </c>
      <c r="B105" s="14" t="s">
        <v>829</v>
      </c>
      <c r="C105" s="14" t="s">
        <v>233</v>
      </c>
      <c r="D105" s="14" t="s">
        <v>539</v>
      </c>
      <c r="E105" s="14" t="s">
        <v>830</v>
      </c>
      <c r="F105" s="14" t="s">
        <v>831</v>
      </c>
      <c r="G105" s="14" t="s">
        <v>542</v>
      </c>
      <c r="H105" s="15">
        <v>83.568458833500003</v>
      </c>
      <c r="I105">
        <v>2024</v>
      </c>
      <c r="J105">
        <v>0.59514365118699997</v>
      </c>
      <c r="K105">
        <v>6.8242443739100003E-3</v>
      </c>
    </row>
    <row r="106" spans="1:11" x14ac:dyDescent="0.3">
      <c r="A106" s="14" t="s">
        <v>537</v>
      </c>
      <c r="B106" s="14" t="s">
        <v>832</v>
      </c>
      <c r="C106" s="14" t="s">
        <v>349</v>
      </c>
      <c r="D106" s="14" t="s">
        <v>539</v>
      </c>
      <c r="E106" s="14" t="s">
        <v>833</v>
      </c>
      <c r="F106" s="14" t="s">
        <v>834</v>
      </c>
      <c r="G106" s="14" t="s">
        <v>542</v>
      </c>
      <c r="H106" s="15">
        <v>1133.7997372699999</v>
      </c>
      <c r="I106">
        <v>2024</v>
      </c>
      <c r="J106">
        <v>1.9759778474</v>
      </c>
      <c r="K106">
        <v>9.28277706699E-2</v>
      </c>
    </row>
    <row r="107" spans="1:11" x14ac:dyDescent="0.3">
      <c r="A107" s="14" t="s">
        <v>537</v>
      </c>
      <c r="B107" s="14" t="s">
        <v>835</v>
      </c>
      <c r="C107" s="14" t="s">
        <v>351</v>
      </c>
      <c r="D107" s="14" t="s">
        <v>539</v>
      </c>
      <c r="E107" s="14" t="s">
        <v>836</v>
      </c>
      <c r="F107" s="14" t="s">
        <v>837</v>
      </c>
      <c r="G107" s="14" t="s">
        <v>542</v>
      </c>
      <c r="H107" s="15">
        <v>1346.42542357</v>
      </c>
      <c r="I107">
        <v>2024</v>
      </c>
      <c r="J107">
        <v>3.2034220574600001</v>
      </c>
      <c r="K107">
        <v>0.109891710354</v>
      </c>
    </row>
    <row r="108" spans="1:11" x14ac:dyDescent="0.3">
      <c r="A108" s="14" t="s">
        <v>537</v>
      </c>
      <c r="B108" s="14" t="s">
        <v>838</v>
      </c>
      <c r="C108" s="14" t="s">
        <v>353</v>
      </c>
      <c r="D108" s="14" t="s">
        <v>539</v>
      </c>
      <c r="E108" s="14" t="s">
        <v>839</v>
      </c>
      <c r="F108" s="14" t="s">
        <v>619</v>
      </c>
      <c r="G108" s="14" t="s">
        <v>542</v>
      </c>
      <c r="H108" s="15">
        <v>219.071913636</v>
      </c>
      <c r="I108">
        <v>2024</v>
      </c>
      <c r="J108">
        <v>0.84714389808599999</v>
      </c>
      <c r="K108">
        <v>1.78952824318E-2</v>
      </c>
    </row>
    <row r="109" spans="1:11" x14ac:dyDescent="0.3">
      <c r="A109" s="14" t="s">
        <v>537</v>
      </c>
      <c r="B109" s="14" t="s">
        <v>840</v>
      </c>
      <c r="C109" s="14" t="s">
        <v>355</v>
      </c>
      <c r="D109" s="14" t="s">
        <v>539</v>
      </c>
      <c r="E109" s="14" t="s">
        <v>841</v>
      </c>
      <c r="F109" s="14" t="s">
        <v>647</v>
      </c>
      <c r="G109" s="14" t="s">
        <v>542</v>
      </c>
      <c r="H109" s="15">
        <v>252.239744186</v>
      </c>
      <c r="I109">
        <v>2024</v>
      </c>
      <c r="J109">
        <v>0.79171009349099997</v>
      </c>
      <c r="K109">
        <v>2.0573722729600001E-2</v>
      </c>
    </row>
    <row r="110" spans="1:11" x14ac:dyDescent="0.3">
      <c r="A110" s="14" t="s">
        <v>537</v>
      </c>
      <c r="B110" s="14" t="s">
        <v>842</v>
      </c>
      <c r="C110" s="14" t="s">
        <v>357</v>
      </c>
      <c r="D110" s="14" t="s">
        <v>539</v>
      </c>
      <c r="E110" s="14" t="s">
        <v>843</v>
      </c>
      <c r="F110" s="14" t="s">
        <v>844</v>
      </c>
      <c r="G110" s="14" t="s">
        <v>542</v>
      </c>
      <c r="H110" s="15">
        <v>1149.05383439</v>
      </c>
      <c r="I110">
        <v>2024</v>
      </c>
      <c r="J110">
        <v>2.3852845991899998</v>
      </c>
      <c r="K110">
        <v>9.4081942032100005E-2</v>
      </c>
    </row>
    <row r="111" spans="1:11" x14ac:dyDescent="0.3">
      <c r="A111" s="14" t="s">
        <v>537</v>
      </c>
      <c r="B111" s="14" t="s">
        <v>845</v>
      </c>
      <c r="C111" s="14" t="s">
        <v>359</v>
      </c>
      <c r="D111" s="14" t="s">
        <v>539</v>
      </c>
      <c r="E111" s="14" t="s">
        <v>846</v>
      </c>
      <c r="F111" s="14" t="s">
        <v>847</v>
      </c>
      <c r="G111" s="14" t="s">
        <v>542</v>
      </c>
      <c r="H111" s="15">
        <v>120.47906216600001</v>
      </c>
      <c r="I111">
        <v>2024</v>
      </c>
      <c r="J111">
        <v>0.46214867424</v>
      </c>
      <c r="K111">
        <v>9.8289061797600004E-3</v>
      </c>
    </row>
    <row r="112" spans="1:11" x14ac:dyDescent="0.3">
      <c r="A112" s="14" t="s">
        <v>537</v>
      </c>
      <c r="B112" s="14" t="s">
        <v>848</v>
      </c>
      <c r="C112" s="14" t="s">
        <v>361</v>
      </c>
      <c r="D112" s="14" t="s">
        <v>539</v>
      </c>
      <c r="E112" s="14" t="s">
        <v>849</v>
      </c>
      <c r="F112" s="14" t="s">
        <v>708</v>
      </c>
      <c r="G112" s="14" t="s">
        <v>542</v>
      </c>
      <c r="H112" s="15">
        <v>140.345788067</v>
      </c>
      <c r="I112">
        <v>2024</v>
      </c>
      <c r="J112">
        <v>0.486821514771</v>
      </c>
      <c r="K112">
        <v>1.1453836199100001E-2</v>
      </c>
    </row>
    <row r="113" spans="1:11" x14ac:dyDescent="0.3">
      <c r="A113" s="14" t="s">
        <v>537</v>
      </c>
      <c r="B113" s="14" t="s">
        <v>850</v>
      </c>
      <c r="C113" s="14" t="s">
        <v>363</v>
      </c>
      <c r="D113" s="14" t="s">
        <v>539</v>
      </c>
      <c r="E113" s="14" t="s">
        <v>851</v>
      </c>
      <c r="F113" s="14" t="s">
        <v>852</v>
      </c>
      <c r="G113" s="14" t="s">
        <v>542</v>
      </c>
      <c r="H113" s="15">
        <v>134.44259809900001</v>
      </c>
      <c r="I113">
        <v>2024</v>
      </c>
      <c r="J113">
        <v>0.49581412902200001</v>
      </c>
      <c r="K113">
        <v>1.0993529657E-2</v>
      </c>
    </row>
    <row r="114" spans="1:11" x14ac:dyDescent="0.3">
      <c r="A114" s="14" t="s">
        <v>537</v>
      </c>
      <c r="B114" s="14" t="s">
        <v>853</v>
      </c>
      <c r="C114" s="14" t="s">
        <v>218</v>
      </c>
      <c r="D114" s="14" t="s">
        <v>539</v>
      </c>
      <c r="E114" s="14" t="s">
        <v>854</v>
      </c>
      <c r="F114" s="14" t="s">
        <v>773</v>
      </c>
      <c r="G114" s="14" t="s">
        <v>542</v>
      </c>
      <c r="H114" s="15">
        <v>2921.8744349499998</v>
      </c>
      <c r="I114">
        <v>2024</v>
      </c>
      <c r="J114">
        <v>6.63945853355</v>
      </c>
      <c r="K114">
        <v>0.23914038089600001</v>
      </c>
    </row>
    <row r="115" spans="1:11" x14ac:dyDescent="0.3">
      <c r="A115" s="14" t="s">
        <v>537</v>
      </c>
      <c r="B115" s="14" t="s">
        <v>855</v>
      </c>
      <c r="C115" s="14" t="s">
        <v>365</v>
      </c>
      <c r="D115" s="14" t="s">
        <v>539</v>
      </c>
      <c r="E115" s="14" t="s">
        <v>856</v>
      </c>
      <c r="F115" s="14" t="s">
        <v>857</v>
      </c>
      <c r="G115" s="14" t="s">
        <v>542</v>
      </c>
      <c r="H115" s="15">
        <v>265.92924344699998</v>
      </c>
      <c r="I115">
        <v>2024</v>
      </c>
      <c r="J115">
        <v>0.92346381599000005</v>
      </c>
      <c r="K115">
        <v>2.17305604858E-2</v>
      </c>
    </row>
    <row r="116" spans="1:11" x14ac:dyDescent="0.3">
      <c r="A116" s="14" t="s">
        <v>537</v>
      </c>
      <c r="B116" s="14" t="s">
        <v>858</v>
      </c>
      <c r="C116" s="14" t="s">
        <v>367</v>
      </c>
      <c r="D116" s="14" t="s">
        <v>539</v>
      </c>
      <c r="E116" s="14" t="s">
        <v>859</v>
      </c>
      <c r="F116" s="14" t="s">
        <v>860</v>
      </c>
      <c r="G116" s="14" t="s">
        <v>542</v>
      </c>
      <c r="H116" s="15">
        <v>2563.3972272699998</v>
      </c>
      <c r="I116">
        <v>2024</v>
      </c>
      <c r="J116">
        <v>2.8552677629300001</v>
      </c>
      <c r="K116">
        <v>0.20919541253400001</v>
      </c>
    </row>
    <row r="117" spans="1:11" x14ac:dyDescent="0.3">
      <c r="A117" s="14" t="s">
        <v>537</v>
      </c>
      <c r="B117" s="14" t="s">
        <v>861</v>
      </c>
      <c r="C117" s="14" t="s">
        <v>369</v>
      </c>
      <c r="D117" s="14" t="s">
        <v>539</v>
      </c>
      <c r="E117" s="14" t="s">
        <v>862</v>
      </c>
      <c r="F117" s="14" t="s">
        <v>863</v>
      </c>
      <c r="G117" s="14" t="s">
        <v>542</v>
      </c>
      <c r="H117" s="15">
        <v>567.70263553799998</v>
      </c>
      <c r="I117">
        <v>2024</v>
      </c>
      <c r="J117">
        <v>1.5309626140199999</v>
      </c>
      <c r="K117">
        <v>4.6459452207999997E-2</v>
      </c>
    </row>
    <row r="118" spans="1:11" x14ac:dyDescent="0.3">
      <c r="A118" s="14" t="s">
        <v>537</v>
      </c>
      <c r="B118" s="14" t="s">
        <v>864</v>
      </c>
      <c r="C118" s="14" t="s">
        <v>371</v>
      </c>
      <c r="D118" s="14" t="s">
        <v>539</v>
      </c>
      <c r="E118" s="14" t="s">
        <v>865</v>
      </c>
      <c r="F118" s="14" t="s">
        <v>866</v>
      </c>
      <c r="G118" s="14" t="s">
        <v>542</v>
      </c>
      <c r="H118" s="15">
        <v>126.195338709</v>
      </c>
      <c r="I118">
        <v>2024</v>
      </c>
      <c r="J118">
        <v>0.57249805497600004</v>
      </c>
      <c r="K118">
        <v>1.02934245512E-2</v>
      </c>
    </row>
    <row r="119" spans="1:11" x14ac:dyDescent="0.3">
      <c r="A119" s="14" t="s">
        <v>537</v>
      </c>
      <c r="B119" s="14" t="s">
        <v>867</v>
      </c>
      <c r="C119" s="14" t="s">
        <v>373</v>
      </c>
      <c r="D119" s="14" t="s">
        <v>539</v>
      </c>
      <c r="E119" s="14" t="s">
        <v>868</v>
      </c>
      <c r="F119" s="14" t="s">
        <v>869</v>
      </c>
      <c r="G119" s="14" t="s">
        <v>542</v>
      </c>
      <c r="H119" s="15">
        <v>540.81498793599997</v>
      </c>
      <c r="I119">
        <v>2024</v>
      </c>
      <c r="J119">
        <v>1.7645794689400001</v>
      </c>
      <c r="K119">
        <v>4.4236448273000002E-2</v>
      </c>
    </row>
    <row r="120" spans="1:11" x14ac:dyDescent="0.3">
      <c r="A120" s="14" t="s">
        <v>537</v>
      </c>
      <c r="B120" s="14" t="s">
        <v>870</v>
      </c>
      <c r="C120" s="14" t="s">
        <v>375</v>
      </c>
      <c r="D120" s="14" t="s">
        <v>539</v>
      </c>
      <c r="E120" s="14" t="s">
        <v>871</v>
      </c>
      <c r="F120" s="14" t="s">
        <v>872</v>
      </c>
      <c r="G120" s="14" t="s">
        <v>542</v>
      </c>
      <c r="H120" s="15">
        <v>143.64602175100001</v>
      </c>
      <c r="I120">
        <v>2024</v>
      </c>
      <c r="J120">
        <v>0.61322651329300004</v>
      </c>
      <c r="K120">
        <v>1.1721305618700001E-2</v>
      </c>
    </row>
    <row r="121" spans="1:11" x14ac:dyDescent="0.3">
      <c r="A121" s="14" t="s">
        <v>537</v>
      </c>
      <c r="B121" s="14" t="s">
        <v>873</v>
      </c>
      <c r="C121" s="14" t="s">
        <v>377</v>
      </c>
      <c r="D121" s="14" t="s">
        <v>539</v>
      </c>
      <c r="E121" s="14" t="s">
        <v>874</v>
      </c>
      <c r="F121" s="14" t="s">
        <v>875</v>
      </c>
      <c r="G121" s="14" t="s">
        <v>542</v>
      </c>
      <c r="H121" s="15">
        <v>1661.93586082</v>
      </c>
      <c r="I121">
        <v>2024</v>
      </c>
      <c r="J121">
        <v>2.9892938523399999</v>
      </c>
      <c r="K121">
        <v>0.13557354273899999</v>
      </c>
    </row>
    <row r="122" spans="1:11" x14ac:dyDescent="0.3">
      <c r="A122" s="14" t="s">
        <v>537</v>
      </c>
      <c r="B122" s="14" t="s">
        <v>876</v>
      </c>
      <c r="C122" s="14" t="s">
        <v>379</v>
      </c>
      <c r="D122" s="14" t="s">
        <v>539</v>
      </c>
      <c r="E122" s="14" t="s">
        <v>877</v>
      </c>
      <c r="F122" s="14" t="s">
        <v>878</v>
      </c>
      <c r="G122" s="14" t="s">
        <v>542</v>
      </c>
      <c r="H122" s="15">
        <v>440.856387574</v>
      </c>
      <c r="I122">
        <v>2024</v>
      </c>
      <c r="J122">
        <v>1.4195936999400001</v>
      </c>
      <c r="K122">
        <v>3.6051377543400001E-2</v>
      </c>
    </row>
    <row r="123" spans="1:11" x14ac:dyDescent="0.3">
      <c r="A123" s="14" t="s">
        <v>537</v>
      </c>
      <c r="B123" s="14" t="s">
        <v>879</v>
      </c>
      <c r="C123" s="14" t="s">
        <v>381</v>
      </c>
      <c r="D123" s="14" t="s">
        <v>539</v>
      </c>
      <c r="E123" s="14" t="s">
        <v>880</v>
      </c>
      <c r="F123" s="14" t="s">
        <v>881</v>
      </c>
      <c r="G123" s="14" t="s">
        <v>542</v>
      </c>
      <c r="H123" s="15">
        <v>712.57203676500001</v>
      </c>
      <c r="I123">
        <v>2024</v>
      </c>
      <c r="J123">
        <v>1.73634297057</v>
      </c>
      <c r="K123">
        <v>5.8277857467600003E-2</v>
      </c>
    </row>
    <row r="124" spans="1:11" x14ac:dyDescent="0.3">
      <c r="A124" s="14" t="s">
        <v>537</v>
      </c>
      <c r="B124" s="14" t="s">
        <v>882</v>
      </c>
      <c r="C124" s="14" t="s">
        <v>383</v>
      </c>
      <c r="D124" s="14" t="s">
        <v>539</v>
      </c>
      <c r="E124" s="14" t="s">
        <v>883</v>
      </c>
      <c r="F124" s="14" t="s">
        <v>884</v>
      </c>
      <c r="G124" s="14" t="s">
        <v>542</v>
      </c>
      <c r="H124" s="15">
        <v>943.97208270099998</v>
      </c>
      <c r="I124">
        <v>2024</v>
      </c>
      <c r="J124">
        <v>2.9211747191700002</v>
      </c>
      <c r="K124">
        <v>7.7176912755400007E-2</v>
      </c>
    </row>
    <row r="125" spans="1:11" x14ac:dyDescent="0.3">
      <c r="A125" s="14" t="s">
        <v>537</v>
      </c>
      <c r="B125" s="14" t="s">
        <v>885</v>
      </c>
      <c r="C125" s="14" t="s">
        <v>385</v>
      </c>
      <c r="D125" s="14" t="s">
        <v>539</v>
      </c>
      <c r="E125" s="14" t="s">
        <v>886</v>
      </c>
      <c r="F125" s="14" t="s">
        <v>887</v>
      </c>
      <c r="G125" s="14" t="s">
        <v>542</v>
      </c>
      <c r="H125" s="15">
        <v>1894.98116024</v>
      </c>
      <c r="I125">
        <v>2024</v>
      </c>
      <c r="J125">
        <v>2.34829261942</v>
      </c>
      <c r="K125">
        <v>0.15505031843200001</v>
      </c>
    </row>
    <row r="126" spans="1:11" x14ac:dyDescent="0.3">
      <c r="A126" s="14" t="s">
        <v>537</v>
      </c>
      <c r="B126" s="14" t="s">
        <v>888</v>
      </c>
      <c r="C126" s="14" t="s">
        <v>387</v>
      </c>
      <c r="D126" s="14" t="s">
        <v>539</v>
      </c>
      <c r="E126" s="14" t="s">
        <v>889</v>
      </c>
      <c r="F126" s="14" t="s">
        <v>890</v>
      </c>
      <c r="G126" s="14" t="s">
        <v>542</v>
      </c>
      <c r="H126" s="15">
        <v>1167.3987212500001</v>
      </c>
      <c r="I126">
        <v>2024</v>
      </c>
      <c r="J126">
        <v>2.4466576234300002</v>
      </c>
      <c r="K126">
        <v>9.5613930708199998E-2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BC26-A135-4A55-B104-8BAF10401279}">
  <dimension ref="A1:Y126"/>
  <sheetViews>
    <sheetView tabSelected="1" topLeftCell="G1" zoomScale="70" zoomScaleNormal="70" workbookViewId="0">
      <selection activeCell="W1" sqref="W1:Y13"/>
    </sheetView>
  </sheetViews>
  <sheetFormatPr baseColWidth="10" defaultRowHeight="14.4" x14ac:dyDescent="0.3"/>
  <cols>
    <col min="8" max="8" width="41" customWidth="1"/>
    <col min="12" max="12" width="55.5546875" customWidth="1"/>
    <col min="16" max="16" width="27.6640625" customWidth="1"/>
    <col min="17" max="17" width="15.5546875" bestFit="1" customWidth="1"/>
    <col min="23" max="23" width="29.44140625" customWidth="1"/>
    <col min="24" max="24" width="50.109375" customWidth="1"/>
    <col min="25" max="25" width="20" customWidth="1"/>
  </cols>
  <sheetData>
    <row r="1" spans="1:25" ht="39.6" x14ac:dyDescent="0.3">
      <c r="A1" s="19" t="s">
        <v>390</v>
      </c>
      <c r="B1" s="20" t="s">
        <v>391</v>
      </c>
      <c r="C1" s="20" t="s">
        <v>5</v>
      </c>
      <c r="D1" s="20" t="s">
        <v>6</v>
      </c>
      <c r="E1" s="20" t="s">
        <v>7</v>
      </c>
      <c r="F1" s="20" t="s">
        <v>8</v>
      </c>
      <c r="G1" s="20" t="s">
        <v>392</v>
      </c>
      <c r="H1" s="20" t="s">
        <v>9</v>
      </c>
      <c r="I1" s="20" t="s">
        <v>389</v>
      </c>
      <c r="J1" s="20" t="s">
        <v>10</v>
      </c>
      <c r="K1" s="20" t="s">
        <v>896</v>
      </c>
      <c r="L1" s="20" t="s">
        <v>897</v>
      </c>
      <c r="M1" s="20" t="s">
        <v>393</v>
      </c>
      <c r="N1" s="20" t="s">
        <v>11</v>
      </c>
      <c r="O1" s="20" t="s">
        <v>12</v>
      </c>
      <c r="P1" s="20" t="s">
        <v>521</v>
      </c>
      <c r="Q1" s="21" t="s">
        <v>891</v>
      </c>
      <c r="W1" s="3" t="s">
        <v>896</v>
      </c>
      <c r="X1" s="3" t="s">
        <v>897</v>
      </c>
      <c r="Y1" s="3" t="s">
        <v>911</v>
      </c>
    </row>
    <row r="2" spans="1:25" x14ac:dyDescent="0.3">
      <c r="A2" s="17" t="s">
        <v>14</v>
      </c>
      <c r="B2" s="5" t="s">
        <v>15</v>
      </c>
      <c r="C2" s="4" t="s">
        <v>16</v>
      </c>
      <c r="D2" s="5" t="s">
        <v>17</v>
      </c>
      <c r="E2" s="4" t="s">
        <v>18</v>
      </c>
      <c r="F2" s="5" t="s">
        <v>17</v>
      </c>
      <c r="G2" s="4" t="s">
        <v>19</v>
      </c>
      <c r="H2" s="5" t="s">
        <v>20</v>
      </c>
      <c r="I2" s="4" t="s">
        <v>21</v>
      </c>
      <c r="J2" s="5" t="s">
        <v>22</v>
      </c>
      <c r="K2" s="5" t="s">
        <v>900</v>
      </c>
      <c r="L2" s="5" t="s">
        <v>20</v>
      </c>
      <c r="M2" s="4" t="s">
        <v>23</v>
      </c>
      <c r="N2" s="5" t="s">
        <v>24</v>
      </c>
      <c r="O2" s="5" t="s">
        <v>24</v>
      </c>
      <c r="P2" s="37" t="s">
        <v>396</v>
      </c>
      <c r="Q2" s="18">
        <v>507.14109460100002</v>
      </c>
      <c r="W2" s="5" t="s">
        <v>900</v>
      </c>
      <c r="X2" s="5" t="s">
        <v>20</v>
      </c>
      <c r="Y2" s="36">
        <f>COUNTIF(tbl_DivpolaANtioquia4[Cod_EATs],W2)</f>
        <v>5</v>
      </c>
    </row>
    <row r="3" spans="1:25" ht="26.4" x14ac:dyDescent="0.3">
      <c r="A3" s="17" t="s">
        <v>34</v>
      </c>
      <c r="B3" s="5" t="s">
        <v>35</v>
      </c>
      <c r="C3" s="4" t="s">
        <v>16</v>
      </c>
      <c r="D3" s="5" t="s">
        <v>17</v>
      </c>
      <c r="E3" s="4" t="s">
        <v>36</v>
      </c>
      <c r="F3" s="5" t="s">
        <v>37</v>
      </c>
      <c r="G3" s="4" t="s">
        <v>38</v>
      </c>
      <c r="H3" s="5" t="s">
        <v>39</v>
      </c>
      <c r="I3" s="4" t="s">
        <v>40</v>
      </c>
      <c r="J3" s="5" t="s">
        <v>41</v>
      </c>
      <c r="K3" s="5" t="s">
        <v>901</v>
      </c>
      <c r="L3" s="5" t="s">
        <v>39</v>
      </c>
      <c r="M3" s="4" t="s">
        <v>42</v>
      </c>
      <c r="N3" s="5" t="s">
        <v>43</v>
      </c>
      <c r="O3" s="5" t="s">
        <v>43</v>
      </c>
      <c r="P3" s="37" t="s">
        <v>397</v>
      </c>
      <c r="Q3" s="18">
        <v>296.89404997600002</v>
      </c>
      <c r="W3" s="5" t="s">
        <v>901</v>
      </c>
      <c r="X3" s="5" t="s">
        <v>39</v>
      </c>
      <c r="Y3" s="36">
        <f>COUNTIF(tbl_DivpolaANtioquia4[Cod_EATs],W3)</f>
        <v>6</v>
      </c>
    </row>
    <row r="4" spans="1:25" x14ac:dyDescent="0.3">
      <c r="A4" s="17" t="s">
        <v>14</v>
      </c>
      <c r="B4" s="5" t="s">
        <v>15</v>
      </c>
      <c r="C4" s="4" t="s">
        <v>16</v>
      </c>
      <c r="D4" s="5" t="s">
        <v>17</v>
      </c>
      <c r="E4" s="4" t="s">
        <v>18</v>
      </c>
      <c r="F4" s="5" t="s">
        <v>17</v>
      </c>
      <c r="G4" s="4" t="s">
        <v>55</v>
      </c>
      <c r="H4" s="5" t="s">
        <v>56</v>
      </c>
      <c r="I4" s="4" t="s">
        <v>57</v>
      </c>
      <c r="J4" s="5" t="s">
        <v>58</v>
      </c>
      <c r="K4" s="5" t="s">
        <v>902</v>
      </c>
      <c r="L4" s="5" t="s">
        <v>56</v>
      </c>
      <c r="M4" s="4" t="s">
        <v>59</v>
      </c>
      <c r="N4" s="5" t="s">
        <v>60</v>
      </c>
      <c r="O4" s="5" t="s">
        <v>60</v>
      </c>
      <c r="P4" s="37" t="s">
        <v>398</v>
      </c>
      <c r="Q4" s="18">
        <v>128.932153183</v>
      </c>
      <c r="W4" s="5" t="s">
        <v>902</v>
      </c>
      <c r="X4" s="5" t="s">
        <v>56</v>
      </c>
      <c r="Y4" s="36">
        <f>COUNTIF(tbl_DivpolaANtioquia4[Cod_EATs],W4)</f>
        <v>12</v>
      </c>
    </row>
    <row r="5" spans="1:25" x14ac:dyDescent="0.3">
      <c r="A5" s="17" t="s">
        <v>72</v>
      </c>
      <c r="B5" s="5" t="s">
        <v>73</v>
      </c>
      <c r="C5" s="4" t="s">
        <v>16</v>
      </c>
      <c r="D5" s="5" t="s">
        <v>17</v>
      </c>
      <c r="E5" s="4" t="s">
        <v>18</v>
      </c>
      <c r="F5" s="5" t="s">
        <v>17</v>
      </c>
      <c r="G5" s="4" t="s">
        <v>74</v>
      </c>
      <c r="H5" s="5" t="s">
        <v>75</v>
      </c>
      <c r="I5" s="4" t="s">
        <v>76</v>
      </c>
      <c r="J5" s="5" t="s">
        <v>77</v>
      </c>
      <c r="K5" s="5" t="s">
        <v>903</v>
      </c>
      <c r="L5" s="5" t="s">
        <v>75</v>
      </c>
      <c r="M5" s="4" t="s">
        <v>78</v>
      </c>
      <c r="N5" s="5" t="s">
        <v>79</v>
      </c>
      <c r="O5" s="5" t="s">
        <v>79</v>
      </c>
      <c r="P5" s="37" t="s">
        <v>399</v>
      </c>
      <c r="Q5" s="18">
        <v>84.132477153699995</v>
      </c>
      <c r="W5" s="5" t="s">
        <v>903</v>
      </c>
      <c r="X5" s="5" t="s">
        <v>75</v>
      </c>
      <c r="Y5" s="36">
        <f>COUNTIF(tbl_DivpolaANtioquia4[Cod_EATs],W5)</f>
        <v>8</v>
      </c>
    </row>
    <row r="6" spans="1:25" x14ac:dyDescent="0.3">
      <c r="A6" s="17" t="s">
        <v>80</v>
      </c>
      <c r="B6" s="5" t="s">
        <v>81</v>
      </c>
      <c r="C6" s="4" t="s">
        <v>16</v>
      </c>
      <c r="D6" s="5" t="s">
        <v>17</v>
      </c>
      <c r="E6" s="4" t="s">
        <v>18</v>
      </c>
      <c r="F6" s="5" t="s">
        <v>17</v>
      </c>
      <c r="G6" s="4" t="s">
        <v>86</v>
      </c>
      <c r="H6" s="5" t="s">
        <v>87</v>
      </c>
      <c r="I6" s="4" t="s">
        <v>88</v>
      </c>
      <c r="J6" s="5" t="s">
        <v>89</v>
      </c>
      <c r="K6" s="5" t="s">
        <v>904</v>
      </c>
      <c r="L6" s="5" t="s">
        <v>87</v>
      </c>
      <c r="M6" s="4" t="s">
        <v>90</v>
      </c>
      <c r="N6" s="5" t="s">
        <v>91</v>
      </c>
      <c r="O6" s="5" t="s">
        <v>91</v>
      </c>
      <c r="P6" s="37" t="s">
        <v>400</v>
      </c>
      <c r="Q6" s="18">
        <v>1209.1454622700001</v>
      </c>
      <c r="W6" s="5" t="s">
        <v>904</v>
      </c>
      <c r="X6" s="5" t="s">
        <v>87</v>
      </c>
      <c r="Y6" s="36">
        <f>COUNTIF(tbl_DivpolaANtioquia4[Cod_EATs],W6)</f>
        <v>6</v>
      </c>
    </row>
    <row r="7" spans="1:25" x14ac:dyDescent="0.3">
      <c r="A7" s="17" t="s">
        <v>72</v>
      </c>
      <c r="B7" s="5" t="s">
        <v>73</v>
      </c>
      <c r="C7" s="4" t="s">
        <v>16</v>
      </c>
      <c r="D7" s="5" t="s">
        <v>17</v>
      </c>
      <c r="E7" s="4" t="s">
        <v>18</v>
      </c>
      <c r="F7" s="5" t="s">
        <v>17</v>
      </c>
      <c r="G7" s="4" t="s">
        <v>99</v>
      </c>
      <c r="H7" s="5" t="s">
        <v>100</v>
      </c>
      <c r="I7" s="4" t="s">
        <v>103</v>
      </c>
      <c r="J7" s="5" t="s">
        <v>104</v>
      </c>
      <c r="K7" s="5" t="s">
        <v>905</v>
      </c>
      <c r="L7" s="5" t="s">
        <v>100</v>
      </c>
      <c r="M7" s="4" t="s">
        <v>105</v>
      </c>
      <c r="N7" s="5" t="s">
        <v>106</v>
      </c>
      <c r="O7" s="5" t="s">
        <v>106</v>
      </c>
      <c r="P7" s="37" t="s">
        <v>401</v>
      </c>
      <c r="Q7" s="18">
        <v>402.46596621600003</v>
      </c>
      <c r="W7" s="5" t="s">
        <v>905</v>
      </c>
      <c r="X7" s="5" t="s">
        <v>100</v>
      </c>
      <c r="Y7" s="36">
        <f>COUNTIF(tbl_DivpolaANtioquia4[Cod_EATs],W7)</f>
        <v>6</v>
      </c>
    </row>
    <row r="8" spans="1:25" x14ac:dyDescent="0.3">
      <c r="A8" s="17" t="s">
        <v>72</v>
      </c>
      <c r="B8" s="5" t="s">
        <v>73</v>
      </c>
      <c r="C8" s="4" t="s">
        <v>16</v>
      </c>
      <c r="D8" s="5" t="s">
        <v>17</v>
      </c>
      <c r="E8" s="4" t="s">
        <v>18</v>
      </c>
      <c r="F8" s="5" t="s">
        <v>17</v>
      </c>
      <c r="G8" s="4" t="s">
        <v>74</v>
      </c>
      <c r="H8" s="5" t="s">
        <v>75</v>
      </c>
      <c r="I8" s="4" t="s">
        <v>76</v>
      </c>
      <c r="J8" s="5" t="s">
        <v>77</v>
      </c>
      <c r="K8" s="5" t="s">
        <v>903</v>
      </c>
      <c r="L8" s="5" t="s">
        <v>75</v>
      </c>
      <c r="M8" s="4" t="s">
        <v>110</v>
      </c>
      <c r="N8" s="5" t="s">
        <v>111</v>
      </c>
      <c r="O8" s="5" t="s">
        <v>111</v>
      </c>
      <c r="P8" s="37" t="s">
        <v>402</v>
      </c>
      <c r="Q8" s="18">
        <v>81.876301800999997</v>
      </c>
      <c r="W8" s="5" t="s">
        <v>906</v>
      </c>
      <c r="X8" s="5" t="s">
        <v>115</v>
      </c>
      <c r="Y8" s="36">
        <f>COUNTIF(tbl_DivpolaANtioquia4[Cod_EATs],W8)</f>
        <v>13</v>
      </c>
    </row>
    <row r="9" spans="1:25" ht="39.6" x14ac:dyDescent="0.3">
      <c r="A9" s="17" t="s">
        <v>92</v>
      </c>
      <c r="B9" s="5" t="s">
        <v>93</v>
      </c>
      <c r="C9" s="4" t="s">
        <v>16</v>
      </c>
      <c r="D9" s="5" t="s">
        <v>17</v>
      </c>
      <c r="E9" s="4" t="s">
        <v>18</v>
      </c>
      <c r="F9" s="5" t="s">
        <v>17</v>
      </c>
      <c r="G9" s="4" t="s">
        <v>114</v>
      </c>
      <c r="H9" s="5" t="s">
        <v>115</v>
      </c>
      <c r="I9" s="4" t="s">
        <v>116</v>
      </c>
      <c r="J9" s="5" t="s">
        <v>117</v>
      </c>
      <c r="K9" s="5" t="s">
        <v>906</v>
      </c>
      <c r="L9" s="5" t="s">
        <v>115</v>
      </c>
      <c r="M9" s="4" t="s">
        <v>118</v>
      </c>
      <c r="N9" s="5" t="s">
        <v>119</v>
      </c>
      <c r="O9" s="5" t="s">
        <v>119</v>
      </c>
      <c r="P9" s="37" t="s">
        <v>403</v>
      </c>
      <c r="Q9" s="18">
        <v>338.50228653300002</v>
      </c>
      <c r="W9" s="5" t="s">
        <v>898</v>
      </c>
      <c r="X9" s="5" t="s">
        <v>31</v>
      </c>
      <c r="Y9" s="36">
        <f>COUNTIF(tbl_DivpolaANtioquia4[Cod_EATs],W9)</f>
        <v>10</v>
      </c>
    </row>
    <row r="10" spans="1:25" x14ac:dyDescent="0.3">
      <c r="A10" s="17" t="s">
        <v>80</v>
      </c>
      <c r="B10" s="5" t="s">
        <v>81</v>
      </c>
      <c r="C10" s="4" t="s">
        <v>16</v>
      </c>
      <c r="D10" s="5" t="s">
        <v>17</v>
      </c>
      <c r="E10" s="4" t="s">
        <v>18</v>
      </c>
      <c r="F10" s="5" t="s">
        <v>17</v>
      </c>
      <c r="G10" s="4" t="s">
        <v>114</v>
      </c>
      <c r="H10" s="5" t="s">
        <v>115</v>
      </c>
      <c r="I10" s="4" t="s">
        <v>123</v>
      </c>
      <c r="J10" s="5" t="s">
        <v>124</v>
      </c>
      <c r="K10" s="5" t="s">
        <v>906</v>
      </c>
      <c r="L10" s="5" t="s">
        <v>115</v>
      </c>
      <c r="M10" s="4" t="s">
        <v>125</v>
      </c>
      <c r="N10" s="5" t="s">
        <v>126</v>
      </c>
      <c r="O10" s="5" t="s">
        <v>126</v>
      </c>
      <c r="P10" s="37" t="s">
        <v>404</v>
      </c>
      <c r="Q10" s="18">
        <v>1413.7757188099999</v>
      </c>
      <c r="W10" s="5" t="s">
        <v>907</v>
      </c>
      <c r="X10" s="5" t="s">
        <v>136</v>
      </c>
      <c r="Y10" s="36">
        <f>COUNTIF(tbl_DivpolaANtioquia4[Cod_EATs],W10)</f>
        <v>5</v>
      </c>
    </row>
    <row r="11" spans="1:25" ht="26.4" x14ac:dyDescent="0.3">
      <c r="A11" s="17" t="s">
        <v>34</v>
      </c>
      <c r="B11" s="5" t="s">
        <v>35</v>
      </c>
      <c r="C11" s="4" t="s">
        <v>16</v>
      </c>
      <c r="D11" s="5" t="s">
        <v>17</v>
      </c>
      <c r="E11" s="4" t="s">
        <v>18</v>
      </c>
      <c r="F11" s="5" t="s">
        <v>17</v>
      </c>
      <c r="G11" s="4" t="s">
        <v>74</v>
      </c>
      <c r="H11" s="5" t="s">
        <v>75</v>
      </c>
      <c r="I11" s="4" t="s">
        <v>131</v>
      </c>
      <c r="J11" s="5" t="s">
        <v>132</v>
      </c>
      <c r="K11" s="5" t="s">
        <v>903</v>
      </c>
      <c r="L11" s="5" t="s">
        <v>75</v>
      </c>
      <c r="M11" s="4" t="s">
        <v>133</v>
      </c>
      <c r="N11" s="5" t="s">
        <v>134</v>
      </c>
      <c r="O11" s="5" t="s">
        <v>134</v>
      </c>
      <c r="P11" s="37" t="s">
        <v>405</v>
      </c>
      <c r="Q11" s="18">
        <v>255.92331397800001</v>
      </c>
      <c r="W11" s="5" t="s">
        <v>908</v>
      </c>
      <c r="X11" s="5" t="s">
        <v>69</v>
      </c>
      <c r="Y11" s="36">
        <f>COUNTIF(tbl_DivpolaANtioquia4[Cod_EATs],W11)</f>
        <v>8</v>
      </c>
    </row>
    <row r="12" spans="1:25" x14ac:dyDescent="0.3">
      <c r="A12" s="17" t="s">
        <v>127</v>
      </c>
      <c r="B12" s="5" t="s">
        <v>128</v>
      </c>
      <c r="C12" s="4" t="s">
        <v>16</v>
      </c>
      <c r="D12" s="5" t="s">
        <v>17</v>
      </c>
      <c r="E12" s="4" t="s">
        <v>96</v>
      </c>
      <c r="F12" s="5" t="s">
        <v>97</v>
      </c>
      <c r="G12" s="4" t="s">
        <v>29</v>
      </c>
      <c r="H12" s="5" t="s">
        <v>17</v>
      </c>
      <c r="I12" s="4" t="s">
        <v>139</v>
      </c>
      <c r="J12" s="5" t="s">
        <v>28</v>
      </c>
      <c r="K12" s="5" t="s">
        <v>899</v>
      </c>
      <c r="L12" s="5" t="s">
        <v>17</v>
      </c>
      <c r="M12" s="4" t="s">
        <v>140</v>
      </c>
      <c r="N12" s="5" t="s">
        <v>141</v>
      </c>
      <c r="O12" s="5" t="s">
        <v>141</v>
      </c>
      <c r="P12" s="37" t="s">
        <v>406</v>
      </c>
      <c r="Q12" s="18">
        <v>535.15628883800002</v>
      </c>
      <c r="W12" s="5" t="s">
        <v>909</v>
      </c>
      <c r="X12" s="5" t="s">
        <v>52</v>
      </c>
      <c r="Y12" s="36">
        <f>COUNTIF(tbl_DivpolaANtioquia4[Cod_EATs],W12)</f>
        <v>11</v>
      </c>
    </row>
    <row r="13" spans="1:25" x14ac:dyDescent="0.3">
      <c r="A13" s="17" t="s">
        <v>127</v>
      </c>
      <c r="B13" s="5" t="s">
        <v>128</v>
      </c>
      <c r="C13" s="4" t="s">
        <v>16</v>
      </c>
      <c r="D13" s="5" t="s">
        <v>17</v>
      </c>
      <c r="E13" s="4" t="s">
        <v>96</v>
      </c>
      <c r="F13" s="5" t="s">
        <v>97</v>
      </c>
      <c r="G13" s="4" t="s">
        <v>29</v>
      </c>
      <c r="H13" s="5" t="s">
        <v>17</v>
      </c>
      <c r="I13" s="4" t="s">
        <v>146</v>
      </c>
      <c r="J13" s="5" t="s">
        <v>93</v>
      </c>
      <c r="K13" s="5" t="s">
        <v>899</v>
      </c>
      <c r="L13" s="5" t="s">
        <v>17</v>
      </c>
      <c r="M13" s="4" t="s">
        <v>147</v>
      </c>
      <c r="N13" s="5" t="s">
        <v>148</v>
      </c>
      <c r="O13" s="5" t="s">
        <v>148</v>
      </c>
      <c r="P13" s="37" t="s">
        <v>407</v>
      </c>
      <c r="Q13" s="18">
        <v>754.23789037300003</v>
      </c>
      <c r="W13" s="5" t="s">
        <v>899</v>
      </c>
      <c r="X13" s="5" t="s">
        <v>17</v>
      </c>
      <c r="Y13" s="36">
        <f>COUNTIF(tbl_DivpolaANtioquia4[Cod_EATs],W13)</f>
        <v>35</v>
      </c>
    </row>
    <row r="14" spans="1:25" x14ac:dyDescent="0.3">
      <c r="A14" s="17" t="s">
        <v>14</v>
      </c>
      <c r="B14" s="5" t="s">
        <v>15</v>
      </c>
      <c r="C14" s="4" t="s">
        <v>16</v>
      </c>
      <c r="D14" s="5" t="s">
        <v>17</v>
      </c>
      <c r="E14" s="4" t="s">
        <v>18</v>
      </c>
      <c r="F14" s="5" t="s">
        <v>17</v>
      </c>
      <c r="G14" s="4" t="s">
        <v>19</v>
      </c>
      <c r="H14" s="5" t="s">
        <v>20</v>
      </c>
      <c r="I14" s="4" t="s">
        <v>21</v>
      </c>
      <c r="J14" s="5" t="s">
        <v>22</v>
      </c>
      <c r="K14" s="5" t="s">
        <v>900</v>
      </c>
      <c r="L14" s="5" t="s">
        <v>20</v>
      </c>
      <c r="M14" s="4" t="s">
        <v>151</v>
      </c>
      <c r="N14" s="5" t="s">
        <v>152</v>
      </c>
      <c r="O14" s="5" t="s">
        <v>152</v>
      </c>
      <c r="P14" s="37" t="s">
        <v>408</v>
      </c>
      <c r="Q14" s="18">
        <v>245.341782088</v>
      </c>
    </row>
    <row r="15" spans="1:25" ht="26.4" x14ac:dyDescent="0.3">
      <c r="A15" s="17" t="s">
        <v>34</v>
      </c>
      <c r="B15" s="5" t="s">
        <v>35</v>
      </c>
      <c r="C15" s="4" t="s">
        <v>16</v>
      </c>
      <c r="D15" s="5" t="s">
        <v>17</v>
      </c>
      <c r="E15" s="4" t="s">
        <v>36</v>
      </c>
      <c r="F15" s="5" t="s">
        <v>37</v>
      </c>
      <c r="G15" s="4" t="s">
        <v>29</v>
      </c>
      <c r="H15" s="5" t="s">
        <v>17</v>
      </c>
      <c r="I15" s="4" t="s">
        <v>131</v>
      </c>
      <c r="J15" s="5" t="s">
        <v>132</v>
      </c>
      <c r="K15" s="5" t="s">
        <v>899</v>
      </c>
      <c r="L15" s="5" t="s">
        <v>17</v>
      </c>
      <c r="M15" s="4" t="s">
        <v>153</v>
      </c>
      <c r="N15" s="5" t="s">
        <v>154</v>
      </c>
      <c r="O15" s="5" t="s">
        <v>154</v>
      </c>
      <c r="P15" s="37" t="s">
        <v>409</v>
      </c>
      <c r="Q15" s="18">
        <v>110.43497503499999</v>
      </c>
    </row>
    <row r="16" spans="1:25" ht="52.8" x14ac:dyDescent="0.3">
      <c r="A16" s="17" t="s">
        <v>25</v>
      </c>
      <c r="B16" s="5" t="s">
        <v>26</v>
      </c>
      <c r="C16" s="4" t="s">
        <v>30</v>
      </c>
      <c r="D16" s="5" t="s">
        <v>32</v>
      </c>
      <c r="E16" s="4" t="s">
        <v>18</v>
      </c>
      <c r="F16" s="5" t="s">
        <v>17</v>
      </c>
      <c r="G16" s="4" t="s">
        <v>29</v>
      </c>
      <c r="H16" s="5" t="s">
        <v>17</v>
      </c>
      <c r="I16" s="4" t="s">
        <v>46</v>
      </c>
      <c r="J16" s="5" t="s">
        <v>47</v>
      </c>
      <c r="K16" s="5" t="s">
        <v>898</v>
      </c>
      <c r="L16" s="5" t="s">
        <v>32</v>
      </c>
      <c r="M16" s="4" t="s">
        <v>155</v>
      </c>
      <c r="N16" s="5" t="s">
        <v>156</v>
      </c>
      <c r="O16" s="5" t="s">
        <v>156</v>
      </c>
      <c r="P16" s="37" t="s">
        <v>410</v>
      </c>
      <c r="Q16" s="18">
        <v>205.64178123400001</v>
      </c>
    </row>
    <row r="17" spans="1:17" ht="52.8" x14ac:dyDescent="0.3">
      <c r="A17" s="17" t="s">
        <v>25</v>
      </c>
      <c r="B17" s="5" t="s">
        <v>26</v>
      </c>
      <c r="C17" s="4" t="s">
        <v>30</v>
      </c>
      <c r="D17" s="5" t="s">
        <v>32</v>
      </c>
      <c r="E17" s="4" t="s">
        <v>18</v>
      </c>
      <c r="F17" s="5" t="s">
        <v>17</v>
      </c>
      <c r="G17" s="4" t="s">
        <v>29</v>
      </c>
      <c r="H17" s="5" t="s">
        <v>17</v>
      </c>
      <c r="I17" s="4" t="s">
        <v>46</v>
      </c>
      <c r="J17" s="5" t="s">
        <v>47</v>
      </c>
      <c r="K17" s="5" t="s">
        <v>898</v>
      </c>
      <c r="L17" s="5" t="s">
        <v>32</v>
      </c>
      <c r="M17" s="4" t="s">
        <v>157</v>
      </c>
      <c r="N17" s="5" t="s">
        <v>158</v>
      </c>
      <c r="O17" s="5" t="s">
        <v>158</v>
      </c>
      <c r="P17" s="37" t="s">
        <v>411</v>
      </c>
      <c r="Q17" s="18">
        <v>147.69428275499999</v>
      </c>
    </row>
    <row r="18" spans="1:17" ht="26.4" x14ac:dyDescent="0.3">
      <c r="A18" s="17" t="s">
        <v>92</v>
      </c>
      <c r="B18" s="5" t="s">
        <v>93</v>
      </c>
      <c r="C18" s="4" t="s">
        <v>16</v>
      </c>
      <c r="D18" s="5" t="s">
        <v>17</v>
      </c>
      <c r="E18" s="4" t="s">
        <v>18</v>
      </c>
      <c r="F18" s="5" t="s">
        <v>17</v>
      </c>
      <c r="G18" s="4" t="s">
        <v>135</v>
      </c>
      <c r="H18" s="5" t="s">
        <v>136</v>
      </c>
      <c r="I18" s="4" t="s">
        <v>142</v>
      </c>
      <c r="J18" s="5" t="s">
        <v>143</v>
      </c>
      <c r="K18" s="5" t="s">
        <v>907</v>
      </c>
      <c r="L18" s="5" t="s">
        <v>136</v>
      </c>
      <c r="M18" s="4" t="s">
        <v>159</v>
      </c>
      <c r="N18" s="5" t="s">
        <v>160</v>
      </c>
      <c r="O18" s="5" t="s">
        <v>160</v>
      </c>
      <c r="P18" s="37" t="s">
        <v>412</v>
      </c>
      <c r="Q18" s="18">
        <v>296.15316702000001</v>
      </c>
    </row>
    <row r="19" spans="1:17" x14ac:dyDescent="0.3">
      <c r="A19" s="17" t="s">
        <v>72</v>
      </c>
      <c r="B19" s="5" t="s">
        <v>73</v>
      </c>
      <c r="C19" s="4" t="s">
        <v>16</v>
      </c>
      <c r="D19" s="5" t="s">
        <v>17</v>
      </c>
      <c r="E19" s="4" t="s">
        <v>18</v>
      </c>
      <c r="F19" s="5" t="s">
        <v>17</v>
      </c>
      <c r="G19" s="4" t="s">
        <v>99</v>
      </c>
      <c r="H19" s="5" t="s">
        <v>100</v>
      </c>
      <c r="I19" s="4" t="s">
        <v>103</v>
      </c>
      <c r="J19" s="5" t="s">
        <v>104</v>
      </c>
      <c r="K19" s="5" t="s">
        <v>905</v>
      </c>
      <c r="L19" s="5" t="s">
        <v>100</v>
      </c>
      <c r="M19" s="4" t="s">
        <v>163</v>
      </c>
      <c r="N19" s="5" t="s">
        <v>164</v>
      </c>
      <c r="O19" s="5" t="s">
        <v>164</v>
      </c>
      <c r="P19" s="37" t="s">
        <v>413</v>
      </c>
      <c r="Q19" s="18">
        <v>180.52492709399999</v>
      </c>
    </row>
    <row r="20" spans="1:17" x14ac:dyDescent="0.3">
      <c r="A20" s="17" t="s">
        <v>72</v>
      </c>
      <c r="B20" s="5" t="s">
        <v>73</v>
      </c>
      <c r="C20" s="4" t="s">
        <v>16</v>
      </c>
      <c r="D20" s="5" t="s">
        <v>17</v>
      </c>
      <c r="E20" s="4" t="s">
        <v>18</v>
      </c>
      <c r="F20" s="5" t="s">
        <v>17</v>
      </c>
      <c r="G20" s="4" t="s">
        <v>74</v>
      </c>
      <c r="H20" s="5" t="s">
        <v>75</v>
      </c>
      <c r="I20" s="4" t="s">
        <v>167</v>
      </c>
      <c r="J20" s="5" t="s">
        <v>168</v>
      </c>
      <c r="K20" s="5" t="s">
        <v>903</v>
      </c>
      <c r="L20" s="5" t="s">
        <v>75</v>
      </c>
      <c r="M20" s="4" t="s">
        <v>169</v>
      </c>
      <c r="N20" s="5" t="s">
        <v>170</v>
      </c>
      <c r="O20" s="5" t="s">
        <v>170</v>
      </c>
      <c r="P20" s="37" t="s">
        <v>414</v>
      </c>
      <c r="Q20" s="18">
        <v>262.36750224299999</v>
      </c>
    </row>
    <row r="21" spans="1:17" ht="39.6" x14ac:dyDescent="0.3">
      <c r="A21" s="17" t="s">
        <v>92</v>
      </c>
      <c r="B21" s="5" t="s">
        <v>93</v>
      </c>
      <c r="C21" s="4" t="s">
        <v>16</v>
      </c>
      <c r="D21" s="5" t="s">
        <v>17</v>
      </c>
      <c r="E21" s="4" t="s">
        <v>18</v>
      </c>
      <c r="F21" s="5" t="s">
        <v>17</v>
      </c>
      <c r="G21" s="4" t="s">
        <v>114</v>
      </c>
      <c r="H21" s="5" t="s">
        <v>115</v>
      </c>
      <c r="I21" s="4" t="s">
        <v>116</v>
      </c>
      <c r="J21" s="5" t="s">
        <v>117</v>
      </c>
      <c r="K21" s="5" t="s">
        <v>906</v>
      </c>
      <c r="L21" s="5" t="s">
        <v>115</v>
      </c>
      <c r="M21" s="4" t="s">
        <v>171</v>
      </c>
      <c r="N21" s="5" t="s">
        <v>172</v>
      </c>
      <c r="O21" s="5" t="s">
        <v>172</v>
      </c>
      <c r="P21" s="37" t="s">
        <v>415</v>
      </c>
      <c r="Q21" s="18">
        <v>376.34675581800002</v>
      </c>
    </row>
    <row r="22" spans="1:17" ht="26.4" x14ac:dyDescent="0.3">
      <c r="A22" s="17" t="s">
        <v>34</v>
      </c>
      <c r="B22" s="5" t="s">
        <v>35</v>
      </c>
      <c r="C22" s="4" t="s">
        <v>16</v>
      </c>
      <c r="D22" s="5" t="s">
        <v>17</v>
      </c>
      <c r="E22" s="4" t="s">
        <v>36</v>
      </c>
      <c r="F22" s="5" t="s">
        <v>37</v>
      </c>
      <c r="G22" s="4" t="s">
        <v>68</v>
      </c>
      <c r="H22" s="5" t="s">
        <v>69</v>
      </c>
      <c r="I22" s="4" t="s">
        <v>131</v>
      </c>
      <c r="J22" s="5" t="s">
        <v>132</v>
      </c>
      <c r="K22" s="5" t="s">
        <v>908</v>
      </c>
      <c r="L22" s="5" t="s">
        <v>69</v>
      </c>
      <c r="M22" s="4" t="s">
        <v>173</v>
      </c>
      <c r="N22" s="5" t="s">
        <v>174</v>
      </c>
      <c r="O22" s="5" t="s">
        <v>174</v>
      </c>
      <c r="P22" s="37" t="s">
        <v>416</v>
      </c>
      <c r="Q22" s="18">
        <v>355.29786474700001</v>
      </c>
    </row>
    <row r="23" spans="1:17" ht="26.4" x14ac:dyDescent="0.3">
      <c r="A23" s="17" t="s">
        <v>44</v>
      </c>
      <c r="B23" s="5" t="s">
        <v>45</v>
      </c>
      <c r="C23" s="4" t="s">
        <v>16</v>
      </c>
      <c r="D23" s="5" t="s">
        <v>17</v>
      </c>
      <c r="E23" s="4" t="s">
        <v>48</v>
      </c>
      <c r="F23" s="5" t="s">
        <v>49</v>
      </c>
      <c r="G23" s="4" t="s">
        <v>29</v>
      </c>
      <c r="H23" s="5" t="s">
        <v>17</v>
      </c>
      <c r="I23" s="4" t="s">
        <v>82</v>
      </c>
      <c r="J23" s="5" t="s">
        <v>45</v>
      </c>
      <c r="K23" s="5" t="s">
        <v>899</v>
      </c>
      <c r="L23" s="5" t="s">
        <v>17</v>
      </c>
      <c r="M23" s="4" t="s">
        <v>175</v>
      </c>
      <c r="N23" s="5" t="s">
        <v>176</v>
      </c>
      <c r="O23" s="5" t="s">
        <v>176</v>
      </c>
      <c r="P23" s="37" t="s">
        <v>417</v>
      </c>
      <c r="Q23" s="18">
        <v>1873.7339007400001</v>
      </c>
    </row>
    <row r="24" spans="1:17" ht="26.4" x14ac:dyDescent="0.3">
      <c r="A24" s="17" t="s">
        <v>34</v>
      </c>
      <c r="B24" s="5" t="s">
        <v>35</v>
      </c>
      <c r="C24" s="4" t="s">
        <v>16</v>
      </c>
      <c r="D24" s="5" t="s">
        <v>17</v>
      </c>
      <c r="E24" s="4" t="s">
        <v>18</v>
      </c>
      <c r="F24" s="5" t="s">
        <v>17</v>
      </c>
      <c r="G24" s="4" t="s">
        <v>74</v>
      </c>
      <c r="H24" s="5" t="s">
        <v>75</v>
      </c>
      <c r="I24" s="4" t="s">
        <v>131</v>
      </c>
      <c r="J24" s="5" t="s">
        <v>132</v>
      </c>
      <c r="K24" s="5" t="s">
        <v>903</v>
      </c>
      <c r="L24" s="5" t="s">
        <v>75</v>
      </c>
      <c r="M24" s="4" t="s">
        <v>179</v>
      </c>
      <c r="N24" s="5" t="s">
        <v>180</v>
      </c>
      <c r="O24" s="5" t="s">
        <v>180</v>
      </c>
      <c r="P24" s="37" t="s">
        <v>418</v>
      </c>
      <c r="Q24" s="18">
        <v>200.12988294199999</v>
      </c>
    </row>
    <row r="25" spans="1:17" ht="52.8" x14ac:dyDescent="0.3">
      <c r="A25" s="17" t="s">
        <v>25</v>
      </c>
      <c r="B25" s="5" t="s">
        <v>26</v>
      </c>
      <c r="C25" s="4" t="s">
        <v>30</v>
      </c>
      <c r="D25" s="5" t="s">
        <v>32</v>
      </c>
      <c r="E25" s="4" t="s">
        <v>18</v>
      </c>
      <c r="F25" s="5" t="s">
        <v>17</v>
      </c>
      <c r="G25" s="4" t="s">
        <v>29</v>
      </c>
      <c r="H25" s="5" t="s">
        <v>17</v>
      </c>
      <c r="I25" s="4" t="s">
        <v>63</v>
      </c>
      <c r="J25" s="5" t="s">
        <v>64</v>
      </c>
      <c r="K25" s="5" t="s">
        <v>898</v>
      </c>
      <c r="L25" s="5" t="s">
        <v>32</v>
      </c>
      <c r="M25" s="4" t="s">
        <v>181</v>
      </c>
      <c r="N25" s="5" t="s">
        <v>182</v>
      </c>
      <c r="O25" s="5" t="s">
        <v>182</v>
      </c>
      <c r="P25" s="37" t="s">
        <v>419</v>
      </c>
      <c r="Q25" s="18">
        <v>132.79655107100001</v>
      </c>
    </row>
    <row r="26" spans="1:17" ht="39.6" x14ac:dyDescent="0.3">
      <c r="A26" s="17" t="s">
        <v>92</v>
      </c>
      <c r="B26" s="5" t="s">
        <v>93</v>
      </c>
      <c r="C26" s="4" t="s">
        <v>16</v>
      </c>
      <c r="D26" s="5" t="s">
        <v>17</v>
      </c>
      <c r="E26" s="4" t="s">
        <v>18</v>
      </c>
      <c r="F26" s="5" t="s">
        <v>17</v>
      </c>
      <c r="G26" s="4" t="s">
        <v>114</v>
      </c>
      <c r="H26" s="5" t="s">
        <v>115</v>
      </c>
      <c r="I26" s="4" t="s">
        <v>116</v>
      </c>
      <c r="J26" s="5" t="s">
        <v>117</v>
      </c>
      <c r="K26" s="5" t="s">
        <v>906</v>
      </c>
      <c r="L26" s="5" t="s">
        <v>115</v>
      </c>
      <c r="M26" s="4" t="s">
        <v>183</v>
      </c>
      <c r="N26" s="5" t="s">
        <v>184</v>
      </c>
      <c r="O26" s="5" t="s">
        <v>184</v>
      </c>
      <c r="P26" s="37" t="s">
        <v>420</v>
      </c>
      <c r="Q26" s="18">
        <v>232.19176720499999</v>
      </c>
    </row>
    <row r="27" spans="1:17" ht="26.4" x14ac:dyDescent="0.3">
      <c r="A27" s="17" t="s">
        <v>34</v>
      </c>
      <c r="B27" s="5" t="s">
        <v>35</v>
      </c>
      <c r="C27" s="4" t="s">
        <v>16</v>
      </c>
      <c r="D27" s="5" t="s">
        <v>17</v>
      </c>
      <c r="E27" s="4" t="s">
        <v>36</v>
      </c>
      <c r="F27" s="5" t="s">
        <v>37</v>
      </c>
      <c r="G27" s="4" t="s">
        <v>38</v>
      </c>
      <c r="H27" s="5" t="s">
        <v>39</v>
      </c>
      <c r="I27" s="4" t="s">
        <v>40</v>
      </c>
      <c r="J27" s="5" t="s">
        <v>41</v>
      </c>
      <c r="K27" s="5" t="s">
        <v>901</v>
      </c>
      <c r="L27" s="5" t="s">
        <v>39</v>
      </c>
      <c r="M27" s="4" t="s">
        <v>187</v>
      </c>
      <c r="N27" s="5" t="s">
        <v>188</v>
      </c>
      <c r="O27" s="5" t="s">
        <v>188</v>
      </c>
      <c r="P27" s="37" t="s">
        <v>421</v>
      </c>
      <c r="Q27" s="18">
        <v>364.83235938899998</v>
      </c>
    </row>
    <row r="28" spans="1:17" ht="26.4" x14ac:dyDescent="0.3">
      <c r="A28" s="17" t="s">
        <v>61</v>
      </c>
      <c r="B28" s="5" t="s">
        <v>62</v>
      </c>
      <c r="C28" s="4" t="s">
        <v>16</v>
      </c>
      <c r="D28" s="5" t="s">
        <v>17</v>
      </c>
      <c r="E28" s="4" t="s">
        <v>18</v>
      </c>
      <c r="F28" s="5" t="s">
        <v>17</v>
      </c>
      <c r="G28" s="4" t="s">
        <v>29</v>
      </c>
      <c r="H28" s="5" t="s">
        <v>17</v>
      </c>
      <c r="I28" s="4" t="s">
        <v>94</v>
      </c>
      <c r="J28" s="5" t="s">
        <v>95</v>
      </c>
      <c r="K28" s="5" t="s">
        <v>899</v>
      </c>
      <c r="L28" s="5" t="s">
        <v>17</v>
      </c>
      <c r="M28" s="4" t="s">
        <v>189</v>
      </c>
      <c r="N28" s="5" t="s">
        <v>190</v>
      </c>
      <c r="O28" s="5" t="s">
        <v>190</v>
      </c>
      <c r="P28" s="37" t="s">
        <v>422</v>
      </c>
      <c r="Q28" s="18">
        <v>262.79877563000002</v>
      </c>
    </row>
    <row r="29" spans="1:17" x14ac:dyDescent="0.3">
      <c r="A29" s="17" t="s">
        <v>72</v>
      </c>
      <c r="B29" s="5" t="s">
        <v>73</v>
      </c>
      <c r="C29" s="4" t="s">
        <v>16</v>
      </c>
      <c r="D29" s="5" t="s">
        <v>17</v>
      </c>
      <c r="E29" s="4" t="s">
        <v>18</v>
      </c>
      <c r="F29" s="5" t="s">
        <v>17</v>
      </c>
      <c r="G29" s="4" t="s">
        <v>51</v>
      </c>
      <c r="H29" s="5" t="s">
        <v>52</v>
      </c>
      <c r="I29" s="4" t="s">
        <v>177</v>
      </c>
      <c r="J29" s="5" t="s">
        <v>178</v>
      </c>
      <c r="K29" s="5" t="s">
        <v>909</v>
      </c>
      <c r="L29" s="5" t="s">
        <v>52</v>
      </c>
      <c r="M29" s="4" t="s">
        <v>191</v>
      </c>
      <c r="N29" s="5" t="s">
        <v>192</v>
      </c>
      <c r="O29" s="5" t="s">
        <v>192</v>
      </c>
      <c r="P29" s="37" t="s">
        <v>423</v>
      </c>
      <c r="Q29" s="18">
        <v>92.083683080699998</v>
      </c>
    </row>
    <row r="30" spans="1:17" x14ac:dyDescent="0.3">
      <c r="A30" s="17" t="s">
        <v>127</v>
      </c>
      <c r="B30" s="5" t="s">
        <v>128</v>
      </c>
      <c r="C30" s="4" t="s">
        <v>16</v>
      </c>
      <c r="D30" s="5" t="s">
        <v>17</v>
      </c>
      <c r="E30" s="4" t="s">
        <v>96</v>
      </c>
      <c r="F30" s="5" t="s">
        <v>97</v>
      </c>
      <c r="G30" s="4" t="s">
        <v>29</v>
      </c>
      <c r="H30" s="5" t="s">
        <v>17</v>
      </c>
      <c r="I30" s="4" t="s">
        <v>139</v>
      </c>
      <c r="J30" s="5" t="s">
        <v>28</v>
      </c>
      <c r="K30" s="5" t="s">
        <v>899</v>
      </c>
      <c r="L30" s="5" t="s">
        <v>17</v>
      </c>
      <c r="M30" s="4" t="s">
        <v>193</v>
      </c>
      <c r="N30" s="5" t="s">
        <v>194</v>
      </c>
      <c r="O30" s="5" t="s">
        <v>194</v>
      </c>
      <c r="P30" s="37" t="s">
        <v>424</v>
      </c>
      <c r="Q30" s="18">
        <v>387.28673071499998</v>
      </c>
    </row>
    <row r="31" spans="1:17" ht="26.4" x14ac:dyDescent="0.3">
      <c r="A31" s="17" t="s">
        <v>92</v>
      </c>
      <c r="B31" s="5" t="s">
        <v>93</v>
      </c>
      <c r="C31" s="4" t="s">
        <v>16</v>
      </c>
      <c r="D31" s="5" t="s">
        <v>17</v>
      </c>
      <c r="E31" s="4" t="s">
        <v>18</v>
      </c>
      <c r="F31" s="5" t="s">
        <v>17</v>
      </c>
      <c r="G31" s="4" t="s">
        <v>114</v>
      </c>
      <c r="H31" s="5" t="s">
        <v>115</v>
      </c>
      <c r="I31" s="4" t="s">
        <v>123</v>
      </c>
      <c r="J31" s="5" t="s">
        <v>124</v>
      </c>
      <c r="K31" s="5" t="s">
        <v>906</v>
      </c>
      <c r="L31" s="5" t="s">
        <v>115</v>
      </c>
      <c r="M31" s="4" t="s">
        <v>195</v>
      </c>
      <c r="N31" s="5" t="s">
        <v>196</v>
      </c>
      <c r="O31" s="5" t="s">
        <v>196</v>
      </c>
      <c r="P31" s="37" t="s">
        <v>425</v>
      </c>
      <c r="Q31" s="18">
        <v>149.580818158</v>
      </c>
    </row>
    <row r="32" spans="1:17" ht="26.4" x14ac:dyDescent="0.3">
      <c r="A32" s="17" t="s">
        <v>44</v>
      </c>
      <c r="B32" s="5" t="s">
        <v>45</v>
      </c>
      <c r="C32" s="4" t="s">
        <v>16</v>
      </c>
      <c r="D32" s="5" t="s">
        <v>17</v>
      </c>
      <c r="E32" s="4" t="s">
        <v>48</v>
      </c>
      <c r="F32" s="5" t="s">
        <v>49</v>
      </c>
      <c r="G32" s="4" t="s">
        <v>29</v>
      </c>
      <c r="H32" s="5" t="s">
        <v>17</v>
      </c>
      <c r="I32" s="4" t="s">
        <v>82</v>
      </c>
      <c r="J32" s="5" t="s">
        <v>45</v>
      </c>
      <c r="K32" s="5" t="s">
        <v>899</v>
      </c>
      <c r="L32" s="5" t="s">
        <v>17</v>
      </c>
      <c r="M32" s="4" t="s">
        <v>197</v>
      </c>
      <c r="N32" s="5" t="s">
        <v>198</v>
      </c>
      <c r="O32" s="5" t="s">
        <v>198</v>
      </c>
      <c r="P32" s="37" t="s">
        <v>426</v>
      </c>
      <c r="Q32" s="18">
        <v>1429.0822791099999</v>
      </c>
    </row>
    <row r="33" spans="1:17" x14ac:dyDescent="0.3">
      <c r="A33" s="17" t="s">
        <v>127</v>
      </c>
      <c r="B33" s="5" t="s">
        <v>128</v>
      </c>
      <c r="C33" s="4" t="s">
        <v>16</v>
      </c>
      <c r="D33" s="5" t="s">
        <v>17</v>
      </c>
      <c r="E33" s="4" t="s">
        <v>96</v>
      </c>
      <c r="F33" s="5" t="s">
        <v>97</v>
      </c>
      <c r="G33" s="4" t="s">
        <v>29</v>
      </c>
      <c r="H33" s="5" t="s">
        <v>17</v>
      </c>
      <c r="I33" s="4" t="s">
        <v>139</v>
      </c>
      <c r="J33" s="5" t="s">
        <v>28</v>
      </c>
      <c r="K33" s="5" t="s">
        <v>899</v>
      </c>
      <c r="L33" s="5" t="s">
        <v>17</v>
      </c>
      <c r="M33" s="4" t="s">
        <v>199</v>
      </c>
      <c r="N33" s="5" t="s">
        <v>200</v>
      </c>
      <c r="O33" s="5" t="s">
        <v>200</v>
      </c>
      <c r="P33" s="37" t="s">
        <v>427</v>
      </c>
      <c r="Q33" s="18">
        <v>721.68264531600005</v>
      </c>
    </row>
    <row r="34" spans="1:17" x14ac:dyDescent="0.3">
      <c r="A34" s="17" t="s">
        <v>80</v>
      </c>
      <c r="B34" s="5" t="s">
        <v>81</v>
      </c>
      <c r="C34" s="4" t="s">
        <v>16</v>
      </c>
      <c r="D34" s="5" t="s">
        <v>17</v>
      </c>
      <c r="E34" s="4" t="s">
        <v>18</v>
      </c>
      <c r="F34" s="5" t="s">
        <v>17</v>
      </c>
      <c r="G34" s="4" t="s">
        <v>29</v>
      </c>
      <c r="H34" s="5" t="s">
        <v>17</v>
      </c>
      <c r="I34" s="4" t="s">
        <v>94</v>
      </c>
      <c r="J34" s="5" t="s">
        <v>95</v>
      </c>
      <c r="K34" s="5" t="s">
        <v>899</v>
      </c>
      <c r="L34" s="5" t="s">
        <v>17</v>
      </c>
      <c r="M34" s="4" t="s">
        <v>201</v>
      </c>
      <c r="N34" s="5" t="s">
        <v>202</v>
      </c>
      <c r="O34" s="5" t="s">
        <v>202</v>
      </c>
      <c r="P34" s="37" t="s">
        <v>428</v>
      </c>
      <c r="Q34" s="18">
        <v>46.884779501499999</v>
      </c>
    </row>
    <row r="35" spans="1:17" ht="26.4" x14ac:dyDescent="0.3">
      <c r="A35" s="17" t="s">
        <v>72</v>
      </c>
      <c r="B35" s="5" t="s">
        <v>73</v>
      </c>
      <c r="C35" s="4" t="s">
        <v>16</v>
      </c>
      <c r="D35" s="5" t="s">
        <v>17</v>
      </c>
      <c r="E35" s="4" t="s">
        <v>18</v>
      </c>
      <c r="F35" s="5" t="s">
        <v>17</v>
      </c>
      <c r="G35" s="4" t="s">
        <v>99</v>
      </c>
      <c r="H35" s="5" t="s">
        <v>100</v>
      </c>
      <c r="I35" s="4" t="s">
        <v>103</v>
      </c>
      <c r="J35" s="5" t="s">
        <v>104</v>
      </c>
      <c r="K35" s="5" t="s">
        <v>905</v>
      </c>
      <c r="L35" s="5" t="s">
        <v>100</v>
      </c>
      <c r="M35" s="4" t="s">
        <v>203</v>
      </c>
      <c r="N35" s="5" t="s">
        <v>204</v>
      </c>
      <c r="O35" s="5" t="s">
        <v>204</v>
      </c>
      <c r="P35" s="37" t="s">
        <v>429</v>
      </c>
      <c r="Q35" s="18">
        <v>263.78664765799999</v>
      </c>
    </row>
    <row r="36" spans="1:17" x14ac:dyDescent="0.3">
      <c r="A36" s="17" t="s">
        <v>14</v>
      </c>
      <c r="B36" s="5" t="s">
        <v>15</v>
      </c>
      <c r="C36" s="4" t="s">
        <v>16</v>
      </c>
      <c r="D36" s="5" t="s">
        <v>17</v>
      </c>
      <c r="E36" s="4" t="s">
        <v>18</v>
      </c>
      <c r="F36" s="5" t="s">
        <v>17</v>
      </c>
      <c r="G36" s="4" t="s">
        <v>55</v>
      </c>
      <c r="H36" s="5" t="s">
        <v>56</v>
      </c>
      <c r="I36" s="4" t="s">
        <v>161</v>
      </c>
      <c r="J36" s="5" t="s">
        <v>162</v>
      </c>
      <c r="K36" s="5" t="s">
        <v>902</v>
      </c>
      <c r="L36" s="5" t="s">
        <v>56</v>
      </c>
      <c r="M36" s="4" t="s">
        <v>205</v>
      </c>
      <c r="N36" s="5" t="s">
        <v>206</v>
      </c>
      <c r="O36" s="5" t="s">
        <v>206</v>
      </c>
      <c r="P36" s="37" t="s">
        <v>430</v>
      </c>
      <c r="Q36" s="18">
        <v>257.94876923300001</v>
      </c>
    </row>
    <row r="37" spans="1:17" x14ac:dyDescent="0.3">
      <c r="A37" s="17" t="s">
        <v>14</v>
      </c>
      <c r="B37" s="5" t="s">
        <v>15</v>
      </c>
      <c r="C37" s="4" t="s">
        <v>16</v>
      </c>
      <c r="D37" s="5" t="s">
        <v>17</v>
      </c>
      <c r="E37" s="4" t="s">
        <v>18</v>
      </c>
      <c r="F37" s="5" t="s">
        <v>17</v>
      </c>
      <c r="G37" s="4" t="s">
        <v>55</v>
      </c>
      <c r="H37" s="5" t="s">
        <v>56</v>
      </c>
      <c r="I37" s="4" t="s">
        <v>57</v>
      </c>
      <c r="J37" s="5" t="s">
        <v>58</v>
      </c>
      <c r="K37" s="5" t="s">
        <v>902</v>
      </c>
      <c r="L37" s="5" t="s">
        <v>56</v>
      </c>
      <c r="M37" s="4" t="s">
        <v>207</v>
      </c>
      <c r="N37" s="5" t="s">
        <v>208</v>
      </c>
      <c r="O37" s="5" t="s">
        <v>208</v>
      </c>
      <c r="P37" s="37" t="s">
        <v>431</v>
      </c>
      <c r="Q37" s="18">
        <v>202.05448562199999</v>
      </c>
    </row>
    <row r="38" spans="1:17" x14ac:dyDescent="0.3">
      <c r="A38" s="17" t="s">
        <v>72</v>
      </c>
      <c r="B38" s="5" t="s">
        <v>73</v>
      </c>
      <c r="C38" s="4" t="s">
        <v>16</v>
      </c>
      <c r="D38" s="5" t="s">
        <v>17</v>
      </c>
      <c r="E38" s="4" t="s">
        <v>18</v>
      </c>
      <c r="F38" s="5" t="s">
        <v>17</v>
      </c>
      <c r="G38" s="4" t="s">
        <v>74</v>
      </c>
      <c r="H38" s="5" t="s">
        <v>75</v>
      </c>
      <c r="I38" s="4" t="s">
        <v>167</v>
      </c>
      <c r="J38" s="5" t="s">
        <v>168</v>
      </c>
      <c r="K38" s="5" t="s">
        <v>903</v>
      </c>
      <c r="L38" s="5" t="s">
        <v>75</v>
      </c>
      <c r="M38" s="4" t="s">
        <v>209</v>
      </c>
      <c r="N38" s="5" t="s">
        <v>210</v>
      </c>
      <c r="O38" s="5" t="s">
        <v>210</v>
      </c>
      <c r="P38" s="37" t="s">
        <v>432</v>
      </c>
      <c r="Q38" s="18">
        <v>247.880390514</v>
      </c>
    </row>
    <row r="39" spans="1:17" ht="52.8" x14ac:dyDescent="0.3">
      <c r="A39" s="17" t="s">
        <v>25</v>
      </c>
      <c r="B39" s="5" t="s">
        <v>26</v>
      </c>
      <c r="C39" s="4" t="s">
        <v>30</v>
      </c>
      <c r="D39" s="5" t="s">
        <v>32</v>
      </c>
      <c r="E39" s="4" t="s">
        <v>18</v>
      </c>
      <c r="F39" s="5" t="s">
        <v>17</v>
      </c>
      <c r="G39" s="4" t="s">
        <v>29</v>
      </c>
      <c r="H39" s="5" t="s">
        <v>17</v>
      </c>
      <c r="I39" s="4" t="s">
        <v>46</v>
      </c>
      <c r="J39" s="5" t="s">
        <v>47</v>
      </c>
      <c r="K39" s="5" t="s">
        <v>898</v>
      </c>
      <c r="L39" s="5" t="s">
        <v>32</v>
      </c>
      <c r="M39" s="4" t="s">
        <v>211</v>
      </c>
      <c r="N39" s="5" t="s">
        <v>212</v>
      </c>
      <c r="O39" s="5" t="s">
        <v>212</v>
      </c>
      <c r="P39" s="37" t="s">
        <v>433</v>
      </c>
      <c r="Q39" s="18">
        <v>67.856804510700002</v>
      </c>
    </row>
    <row r="40" spans="1:17" ht="26.4" x14ac:dyDescent="0.3">
      <c r="A40" s="17" t="s">
        <v>34</v>
      </c>
      <c r="B40" s="5" t="s">
        <v>35</v>
      </c>
      <c r="C40" s="4" t="s">
        <v>16</v>
      </c>
      <c r="D40" s="5" t="s">
        <v>17</v>
      </c>
      <c r="E40" s="4" t="s">
        <v>36</v>
      </c>
      <c r="F40" s="5" t="s">
        <v>37</v>
      </c>
      <c r="G40" s="4" t="s">
        <v>38</v>
      </c>
      <c r="H40" s="5" t="s">
        <v>39</v>
      </c>
      <c r="I40" s="4" t="s">
        <v>40</v>
      </c>
      <c r="J40" s="5" t="s">
        <v>41</v>
      </c>
      <c r="K40" s="5" t="s">
        <v>901</v>
      </c>
      <c r="L40" s="5" t="s">
        <v>39</v>
      </c>
      <c r="M40" s="4" t="s">
        <v>213</v>
      </c>
      <c r="N40" s="5" t="s">
        <v>214</v>
      </c>
      <c r="O40" s="5" t="s">
        <v>214</v>
      </c>
      <c r="P40" s="37" t="s">
        <v>434</v>
      </c>
      <c r="Q40" s="18">
        <v>1957.2627078600001</v>
      </c>
    </row>
    <row r="41" spans="1:17" ht="92.4" x14ac:dyDescent="0.3">
      <c r="A41" s="17" t="s">
        <v>25</v>
      </c>
      <c r="B41" s="5" t="s">
        <v>26</v>
      </c>
      <c r="C41" s="4" t="s">
        <v>30</v>
      </c>
      <c r="D41" s="5" t="s">
        <v>32</v>
      </c>
      <c r="E41" s="4" t="s">
        <v>18</v>
      </c>
      <c r="F41" s="5" t="s">
        <v>17</v>
      </c>
      <c r="G41" s="4" t="s">
        <v>29</v>
      </c>
      <c r="H41" s="5" t="s">
        <v>17</v>
      </c>
      <c r="I41" s="4" t="s">
        <v>27</v>
      </c>
      <c r="J41" s="5" t="s">
        <v>28</v>
      </c>
      <c r="K41" s="5" t="s">
        <v>898</v>
      </c>
      <c r="L41" s="5" t="s">
        <v>32</v>
      </c>
      <c r="M41" s="4" t="s">
        <v>215</v>
      </c>
      <c r="N41" s="5" t="s">
        <v>216</v>
      </c>
      <c r="O41" s="5" t="s">
        <v>217</v>
      </c>
      <c r="P41" s="37" t="s">
        <v>435</v>
      </c>
      <c r="Q41" s="18">
        <v>374.83400457099998</v>
      </c>
    </row>
    <row r="42" spans="1:17" ht="92.4" x14ac:dyDescent="0.3">
      <c r="A42" s="17" t="s">
        <v>127</v>
      </c>
      <c r="B42" s="5" t="s">
        <v>128</v>
      </c>
      <c r="C42" s="4" t="s">
        <v>16</v>
      </c>
      <c r="D42" s="5" t="s">
        <v>17</v>
      </c>
      <c r="E42" s="4" t="s">
        <v>96</v>
      </c>
      <c r="F42" s="5" t="s">
        <v>97</v>
      </c>
      <c r="G42" s="4" t="s">
        <v>29</v>
      </c>
      <c r="H42" s="5" t="s">
        <v>17</v>
      </c>
      <c r="I42" s="4" t="s">
        <v>139</v>
      </c>
      <c r="J42" s="5" t="s">
        <v>28</v>
      </c>
      <c r="K42" s="5" t="s">
        <v>899</v>
      </c>
      <c r="L42" s="5" t="s">
        <v>17</v>
      </c>
      <c r="M42" s="4" t="s">
        <v>218</v>
      </c>
      <c r="N42" s="5" t="s">
        <v>219</v>
      </c>
      <c r="O42" s="5" t="s">
        <v>220</v>
      </c>
      <c r="P42" s="37" t="s">
        <v>436</v>
      </c>
      <c r="Q42" s="18">
        <v>2921.8744349499998</v>
      </c>
    </row>
    <row r="43" spans="1:17" ht="26.4" x14ac:dyDescent="0.3">
      <c r="A43" s="17" t="s">
        <v>92</v>
      </c>
      <c r="B43" s="5" t="s">
        <v>93</v>
      </c>
      <c r="C43" s="4" t="s">
        <v>16</v>
      </c>
      <c r="D43" s="5" t="s">
        <v>17</v>
      </c>
      <c r="E43" s="4" t="s">
        <v>18</v>
      </c>
      <c r="F43" s="5" t="s">
        <v>17</v>
      </c>
      <c r="G43" s="4" t="s">
        <v>135</v>
      </c>
      <c r="H43" s="5" t="s">
        <v>136</v>
      </c>
      <c r="I43" s="4" t="s">
        <v>142</v>
      </c>
      <c r="J43" s="5" t="s">
        <v>143</v>
      </c>
      <c r="K43" s="5" t="s">
        <v>907</v>
      </c>
      <c r="L43" s="5" t="s">
        <v>136</v>
      </c>
      <c r="M43" s="4" t="s">
        <v>221</v>
      </c>
      <c r="N43" s="5" t="s">
        <v>222</v>
      </c>
      <c r="O43" s="5" t="s">
        <v>222</v>
      </c>
      <c r="P43" s="37" t="s">
        <v>437</v>
      </c>
      <c r="Q43" s="18">
        <v>203.32080361999999</v>
      </c>
    </row>
    <row r="44" spans="1:17" ht="26.4" x14ac:dyDescent="0.3">
      <c r="A44" s="17" t="s">
        <v>34</v>
      </c>
      <c r="B44" s="5" t="s">
        <v>35</v>
      </c>
      <c r="C44" s="4" t="s">
        <v>16</v>
      </c>
      <c r="D44" s="5" t="s">
        <v>17</v>
      </c>
      <c r="E44" s="4" t="s">
        <v>18</v>
      </c>
      <c r="F44" s="5" t="s">
        <v>17</v>
      </c>
      <c r="G44" s="4" t="s">
        <v>68</v>
      </c>
      <c r="H44" s="5" t="s">
        <v>69</v>
      </c>
      <c r="I44" s="4" t="s">
        <v>131</v>
      </c>
      <c r="J44" s="5" t="s">
        <v>132</v>
      </c>
      <c r="K44" s="5" t="s">
        <v>908</v>
      </c>
      <c r="L44" s="5" t="s">
        <v>69</v>
      </c>
      <c r="M44" s="4" t="s">
        <v>223</v>
      </c>
      <c r="N44" s="5" t="s">
        <v>224</v>
      </c>
      <c r="O44" s="5" t="s">
        <v>224</v>
      </c>
      <c r="P44" s="37" t="s">
        <v>438</v>
      </c>
      <c r="Q44" s="18">
        <v>237.74345149300001</v>
      </c>
    </row>
    <row r="45" spans="1:17" ht="26.4" x14ac:dyDescent="0.3">
      <c r="A45" s="17" t="s">
        <v>44</v>
      </c>
      <c r="B45" s="5" t="s">
        <v>45</v>
      </c>
      <c r="C45" s="4" t="s">
        <v>16</v>
      </c>
      <c r="D45" s="5" t="s">
        <v>17</v>
      </c>
      <c r="E45" s="4" t="s">
        <v>48</v>
      </c>
      <c r="F45" s="5" t="s">
        <v>49</v>
      </c>
      <c r="G45" s="4" t="s">
        <v>29</v>
      </c>
      <c r="H45" s="5" t="s">
        <v>17</v>
      </c>
      <c r="I45" s="4" t="s">
        <v>82</v>
      </c>
      <c r="J45" s="5" t="s">
        <v>45</v>
      </c>
      <c r="K45" s="5" t="s">
        <v>899</v>
      </c>
      <c r="L45" s="5" t="s">
        <v>17</v>
      </c>
      <c r="M45" s="4" t="s">
        <v>225</v>
      </c>
      <c r="N45" s="5" t="s">
        <v>226</v>
      </c>
      <c r="O45" s="5" t="s">
        <v>226</v>
      </c>
      <c r="P45" s="37" t="s">
        <v>439</v>
      </c>
      <c r="Q45" s="18">
        <v>1560.24755648</v>
      </c>
    </row>
    <row r="46" spans="1:17" ht="26.4" x14ac:dyDescent="0.3">
      <c r="A46" s="17" t="s">
        <v>14</v>
      </c>
      <c r="B46" s="5" t="s">
        <v>15</v>
      </c>
      <c r="C46" s="4" t="s">
        <v>16</v>
      </c>
      <c r="D46" s="5" t="s">
        <v>17</v>
      </c>
      <c r="E46" s="4" t="s">
        <v>18</v>
      </c>
      <c r="F46" s="5" t="s">
        <v>17</v>
      </c>
      <c r="G46" s="4" t="s">
        <v>29</v>
      </c>
      <c r="H46" s="5" t="s">
        <v>17</v>
      </c>
      <c r="I46" s="4" t="s">
        <v>165</v>
      </c>
      <c r="J46" s="5" t="s">
        <v>166</v>
      </c>
      <c r="K46" s="5" t="s">
        <v>899</v>
      </c>
      <c r="L46" s="5" t="s">
        <v>17</v>
      </c>
      <c r="M46" s="4" t="s">
        <v>227</v>
      </c>
      <c r="N46" s="5" t="s">
        <v>228</v>
      </c>
      <c r="O46" s="5" t="s">
        <v>228</v>
      </c>
      <c r="P46" s="37" t="s">
        <v>440</v>
      </c>
      <c r="Q46" s="18">
        <v>409.32993490299998</v>
      </c>
    </row>
    <row r="47" spans="1:17" x14ac:dyDescent="0.3">
      <c r="A47" s="17" t="s">
        <v>14</v>
      </c>
      <c r="B47" s="5" t="s">
        <v>15</v>
      </c>
      <c r="C47" s="4" t="s">
        <v>16</v>
      </c>
      <c r="D47" s="5" t="s">
        <v>17</v>
      </c>
      <c r="E47" s="4" t="s">
        <v>18</v>
      </c>
      <c r="F47" s="5" t="s">
        <v>17</v>
      </c>
      <c r="G47" s="4" t="s">
        <v>55</v>
      </c>
      <c r="H47" s="5" t="s">
        <v>56</v>
      </c>
      <c r="I47" s="4" t="s">
        <v>57</v>
      </c>
      <c r="J47" s="5" t="s">
        <v>58</v>
      </c>
      <c r="K47" s="5" t="s">
        <v>902</v>
      </c>
      <c r="L47" s="5" t="s">
        <v>56</v>
      </c>
      <c r="M47" s="4" t="s">
        <v>229</v>
      </c>
      <c r="N47" s="5" t="s">
        <v>230</v>
      </c>
      <c r="O47" s="5" t="s">
        <v>230</v>
      </c>
      <c r="P47" s="37" t="s">
        <v>441</v>
      </c>
      <c r="Q47" s="18">
        <v>118.314349783</v>
      </c>
    </row>
    <row r="48" spans="1:17" ht="26.4" x14ac:dyDescent="0.3">
      <c r="A48" s="17" t="s">
        <v>14</v>
      </c>
      <c r="B48" s="5" t="s">
        <v>15</v>
      </c>
      <c r="C48" s="4" t="s">
        <v>16</v>
      </c>
      <c r="D48" s="5" t="s">
        <v>17</v>
      </c>
      <c r="E48" s="4" t="s">
        <v>18</v>
      </c>
      <c r="F48" s="5" t="s">
        <v>17</v>
      </c>
      <c r="G48" s="4" t="s">
        <v>29</v>
      </c>
      <c r="H48" s="5" t="s">
        <v>17</v>
      </c>
      <c r="I48" s="4" t="s">
        <v>165</v>
      </c>
      <c r="J48" s="5" t="s">
        <v>166</v>
      </c>
      <c r="K48" s="5" t="s">
        <v>899</v>
      </c>
      <c r="L48" s="5" t="s">
        <v>17</v>
      </c>
      <c r="M48" s="4" t="s">
        <v>231</v>
      </c>
      <c r="N48" s="5" t="s">
        <v>232</v>
      </c>
      <c r="O48" s="5" t="s">
        <v>232</v>
      </c>
      <c r="P48" s="37" t="s">
        <v>442</v>
      </c>
      <c r="Q48" s="18">
        <v>242.01893869599999</v>
      </c>
    </row>
    <row r="49" spans="1:17" ht="26.4" x14ac:dyDescent="0.3">
      <c r="A49" s="17" t="s">
        <v>14</v>
      </c>
      <c r="B49" s="5" t="s">
        <v>15</v>
      </c>
      <c r="C49" s="4" t="s">
        <v>16</v>
      </c>
      <c r="D49" s="5" t="s">
        <v>17</v>
      </c>
      <c r="E49" s="4" t="s">
        <v>65</v>
      </c>
      <c r="F49" s="5" t="s">
        <v>66</v>
      </c>
      <c r="G49" s="4" t="s">
        <v>29</v>
      </c>
      <c r="H49" s="5" t="s">
        <v>17</v>
      </c>
      <c r="I49" s="4" t="s">
        <v>165</v>
      </c>
      <c r="J49" s="5" t="s">
        <v>166</v>
      </c>
      <c r="K49" s="5" t="s">
        <v>899</v>
      </c>
      <c r="L49" s="5" t="s">
        <v>17</v>
      </c>
      <c r="M49" s="4" t="s">
        <v>233</v>
      </c>
      <c r="N49" s="5" t="s">
        <v>234</v>
      </c>
      <c r="O49" s="5" t="s">
        <v>234</v>
      </c>
      <c r="P49" s="37" t="s">
        <v>443</v>
      </c>
      <c r="Q49" s="18">
        <v>83.568458833500003</v>
      </c>
    </row>
    <row r="50" spans="1:17" ht="26.4" x14ac:dyDescent="0.3">
      <c r="A50" s="17" t="s">
        <v>92</v>
      </c>
      <c r="B50" s="5" t="s">
        <v>93</v>
      </c>
      <c r="C50" s="4" t="s">
        <v>16</v>
      </c>
      <c r="D50" s="5" t="s">
        <v>17</v>
      </c>
      <c r="E50" s="4" t="s">
        <v>18</v>
      </c>
      <c r="F50" s="5" t="s">
        <v>17</v>
      </c>
      <c r="G50" s="4" t="s">
        <v>135</v>
      </c>
      <c r="H50" s="5" t="s">
        <v>136</v>
      </c>
      <c r="I50" s="4" t="s">
        <v>142</v>
      </c>
      <c r="J50" s="5" t="s">
        <v>143</v>
      </c>
      <c r="K50" s="5" t="s">
        <v>907</v>
      </c>
      <c r="L50" s="5" t="s">
        <v>136</v>
      </c>
      <c r="M50" s="4" t="s">
        <v>235</v>
      </c>
      <c r="N50" s="5" t="s">
        <v>236</v>
      </c>
      <c r="O50" s="5" t="s">
        <v>236</v>
      </c>
      <c r="P50" s="37" t="s">
        <v>444</v>
      </c>
      <c r="Q50" s="18">
        <v>214.19594584999999</v>
      </c>
    </row>
    <row r="51" spans="1:17" ht="52.8" x14ac:dyDescent="0.3">
      <c r="A51" s="17" t="s">
        <v>25</v>
      </c>
      <c r="B51" s="5" t="s">
        <v>26</v>
      </c>
      <c r="C51" s="4" t="s">
        <v>30</v>
      </c>
      <c r="D51" s="5" t="s">
        <v>32</v>
      </c>
      <c r="E51" s="4" t="s">
        <v>18</v>
      </c>
      <c r="F51" s="5" t="s">
        <v>17</v>
      </c>
      <c r="G51" s="4" t="s">
        <v>29</v>
      </c>
      <c r="H51" s="5" t="s">
        <v>17</v>
      </c>
      <c r="I51" s="4" t="s">
        <v>63</v>
      </c>
      <c r="J51" s="5" t="s">
        <v>64</v>
      </c>
      <c r="K51" s="5" t="s">
        <v>898</v>
      </c>
      <c r="L51" s="5" t="s">
        <v>32</v>
      </c>
      <c r="M51" s="4" t="s">
        <v>237</v>
      </c>
      <c r="N51" s="5" t="s">
        <v>238</v>
      </c>
      <c r="O51" s="5" t="s">
        <v>238</v>
      </c>
      <c r="P51" s="37" t="s">
        <v>445</v>
      </c>
      <c r="Q51" s="18">
        <v>79.527585911599999</v>
      </c>
    </row>
    <row r="52" spans="1:17" x14ac:dyDescent="0.3">
      <c r="A52" s="17" t="s">
        <v>72</v>
      </c>
      <c r="B52" s="5" t="s">
        <v>73</v>
      </c>
      <c r="C52" s="4" t="s">
        <v>16</v>
      </c>
      <c r="D52" s="5" t="s">
        <v>17</v>
      </c>
      <c r="E52" s="4" t="s">
        <v>18</v>
      </c>
      <c r="F52" s="5" t="s">
        <v>17</v>
      </c>
      <c r="G52" s="4" t="s">
        <v>51</v>
      </c>
      <c r="H52" s="5" t="s">
        <v>52</v>
      </c>
      <c r="I52" s="4" t="s">
        <v>76</v>
      </c>
      <c r="J52" s="5" t="s">
        <v>77</v>
      </c>
      <c r="K52" s="5" t="s">
        <v>909</v>
      </c>
      <c r="L52" s="5" t="s">
        <v>52</v>
      </c>
      <c r="M52" s="4" t="s">
        <v>239</v>
      </c>
      <c r="N52" s="5" t="s">
        <v>240</v>
      </c>
      <c r="O52" s="5" t="s">
        <v>240</v>
      </c>
      <c r="P52" s="37" t="s">
        <v>446</v>
      </c>
      <c r="Q52" s="18">
        <v>253.76053847899999</v>
      </c>
    </row>
    <row r="53" spans="1:17" ht="26.4" x14ac:dyDescent="0.3">
      <c r="A53" s="17" t="s">
        <v>34</v>
      </c>
      <c r="B53" s="5" t="s">
        <v>35</v>
      </c>
      <c r="C53" s="4" t="s">
        <v>16</v>
      </c>
      <c r="D53" s="5" t="s">
        <v>17</v>
      </c>
      <c r="E53" s="4" t="s">
        <v>36</v>
      </c>
      <c r="F53" s="5" t="s">
        <v>37</v>
      </c>
      <c r="G53" s="4" t="s">
        <v>38</v>
      </c>
      <c r="H53" s="5" t="s">
        <v>39</v>
      </c>
      <c r="I53" s="4" t="s">
        <v>40</v>
      </c>
      <c r="J53" s="5" t="s">
        <v>41</v>
      </c>
      <c r="K53" s="5" t="s">
        <v>901</v>
      </c>
      <c r="L53" s="5" t="s">
        <v>39</v>
      </c>
      <c r="M53" s="4" t="s">
        <v>241</v>
      </c>
      <c r="N53" s="5" t="s">
        <v>242</v>
      </c>
      <c r="O53" s="5" t="s">
        <v>242</v>
      </c>
      <c r="P53" s="37" t="s">
        <v>447</v>
      </c>
      <c r="Q53" s="18">
        <v>1384.19329472</v>
      </c>
    </row>
    <row r="54" spans="1:17" ht="26.4" x14ac:dyDescent="0.3">
      <c r="A54" s="17" t="s">
        <v>34</v>
      </c>
      <c r="B54" s="5" t="s">
        <v>35</v>
      </c>
      <c r="C54" s="4" t="s">
        <v>16</v>
      </c>
      <c r="D54" s="5" t="s">
        <v>17</v>
      </c>
      <c r="E54" s="4" t="s">
        <v>18</v>
      </c>
      <c r="F54" s="5" t="s">
        <v>17</v>
      </c>
      <c r="G54" s="4" t="s">
        <v>68</v>
      </c>
      <c r="H54" s="5" t="s">
        <v>69</v>
      </c>
      <c r="I54" s="4" t="s">
        <v>131</v>
      </c>
      <c r="J54" s="5" t="s">
        <v>132</v>
      </c>
      <c r="K54" s="5" t="s">
        <v>908</v>
      </c>
      <c r="L54" s="5" t="s">
        <v>69</v>
      </c>
      <c r="M54" s="4" t="s">
        <v>243</v>
      </c>
      <c r="N54" s="5" t="s">
        <v>244</v>
      </c>
      <c r="O54" s="5" t="s">
        <v>244</v>
      </c>
      <c r="P54" s="37" t="s">
        <v>448</v>
      </c>
      <c r="Q54" s="18">
        <v>93.4251282683</v>
      </c>
    </row>
    <row r="55" spans="1:17" ht="52.8" x14ac:dyDescent="0.3">
      <c r="A55" s="17" t="s">
        <v>25</v>
      </c>
      <c r="B55" s="5" t="s">
        <v>26</v>
      </c>
      <c r="C55" s="4" t="s">
        <v>30</v>
      </c>
      <c r="D55" s="5" t="s">
        <v>32</v>
      </c>
      <c r="E55" s="4" t="s">
        <v>18</v>
      </c>
      <c r="F55" s="5" t="s">
        <v>17</v>
      </c>
      <c r="G55" s="4" t="s">
        <v>29</v>
      </c>
      <c r="H55" s="5" t="s">
        <v>17</v>
      </c>
      <c r="I55" s="4" t="s">
        <v>46</v>
      </c>
      <c r="J55" s="5" t="s">
        <v>47</v>
      </c>
      <c r="K55" s="5" t="s">
        <v>898</v>
      </c>
      <c r="L55" s="5" t="s">
        <v>32</v>
      </c>
      <c r="M55" s="4" t="s">
        <v>245</v>
      </c>
      <c r="N55" s="5" t="s">
        <v>246</v>
      </c>
      <c r="O55" s="5" t="s">
        <v>246</v>
      </c>
      <c r="P55" s="37" t="s">
        <v>449</v>
      </c>
      <c r="Q55" s="18">
        <v>82.859123546199996</v>
      </c>
    </row>
    <row r="56" spans="1:17" ht="26.4" x14ac:dyDescent="0.3">
      <c r="A56" s="17" t="s">
        <v>92</v>
      </c>
      <c r="B56" s="5" t="s">
        <v>93</v>
      </c>
      <c r="C56" s="4" t="s">
        <v>16</v>
      </c>
      <c r="D56" s="5" t="s">
        <v>17</v>
      </c>
      <c r="E56" s="4" t="s">
        <v>18</v>
      </c>
      <c r="F56" s="5" t="s">
        <v>17</v>
      </c>
      <c r="G56" s="4" t="s">
        <v>114</v>
      </c>
      <c r="H56" s="5" t="s">
        <v>115</v>
      </c>
      <c r="I56" s="4" t="s">
        <v>123</v>
      </c>
      <c r="J56" s="5" t="s">
        <v>124</v>
      </c>
      <c r="K56" s="5" t="s">
        <v>906</v>
      </c>
      <c r="L56" s="5" t="s">
        <v>115</v>
      </c>
      <c r="M56" s="4" t="s">
        <v>247</v>
      </c>
      <c r="N56" s="5" t="s">
        <v>248</v>
      </c>
      <c r="O56" s="5" t="s">
        <v>248</v>
      </c>
      <c r="P56" s="37" t="s">
        <v>450</v>
      </c>
      <c r="Q56" s="18">
        <v>332.20462843000001</v>
      </c>
    </row>
    <row r="57" spans="1:17" x14ac:dyDescent="0.3">
      <c r="A57" s="17" t="s">
        <v>14</v>
      </c>
      <c r="B57" s="5" t="s">
        <v>15</v>
      </c>
      <c r="C57" s="4" t="s">
        <v>16</v>
      </c>
      <c r="D57" s="5" t="s">
        <v>17</v>
      </c>
      <c r="E57" s="4" t="s">
        <v>18</v>
      </c>
      <c r="F57" s="5" t="s">
        <v>17</v>
      </c>
      <c r="G57" s="4" t="s">
        <v>55</v>
      </c>
      <c r="H57" s="5" t="s">
        <v>56</v>
      </c>
      <c r="I57" s="4" t="s">
        <v>57</v>
      </c>
      <c r="J57" s="5" t="s">
        <v>58</v>
      </c>
      <c r="K57" s="5" t="s">
        <v>902</v>
      </c>
      <c r="L57" s="5" t="s">
        <v>56</v>
      </c>
      <c r="M57" s="4" t="s">
        <v>249</v>
      </c>
      <c r="N57" s="5" t="s">
        <v>250</v>
      </c>
      <c r="O57" s="5" t="s">
        <v>250</v>
      </c>
      <c r="P57" s="37" t="s">
        <v>451</v>
      </c>
      <c r="Q57" s="18">
        <v>190.225121317</v>
      </c>
    </row>
    <row r="58" spans="1:17" x14ac:dyDescent="0.3">
      <c r="A58" s="17" t="s">
        <v>92</v>
      </c>
      <c r="B58" s="5" t="s">
        <v>93</v>
      </c>
      <c r="C58" s="4" t="s">
        <v>16</v>
      </c>
      <c r="D58" s="5" t="s">
        <v>17</v>
      </c>
      <c r="E58" s="4" t="s">
        <v>18</v>
      </c>
      <c r="F58" s="5" t="s">
        <v>17</v>
      </c>
      <c r="G58" s="4" t="s">
        <v>114</v>
      </c>
      <c r="H58" s="5" t="s">
        <v>115</v>
      </c>
      <c r="I58" s="4" t="s">
        <v>123</v>
      </c>
      <c r="J58" s="5" t="s">
        <v>124</v>
      </c>
      <c r="K58" s="5" t="s">
        <v>906</v>
      </c>
      <c r="L58" s="5" t="s">
        <v>115</v>
      </c>
      <c r="M58" s="4" t="s">
        <v>251</v>
      </c>
      <c r="N58" s="5" t="s">
        <v>252</v>
      </c>
      <c r="O58" s="5" t="s">
        <v>252</v>
      </c>
      <c r="P58" s="37" t="s">
        <v>452</v>
      </c>
      <c r="Q58" s="18">
        <v>118.207933506</v>
      </c>
    </row>
    <row r="59" spans="1:17" ht="26.4" x14ac:dyDescent="0.3">
      <c r="A59" s="17" t="s">
        <v>14</v>
      </c>
      <c r="B59" s="5" t="s">
        <v>15</v>
      </c>
      <c r="C59" s="4" t="s">
        <v>16</v>
      </c>
      <c r="D59" s="5" t="s">
        <v>17</v>
      </c>
      <c r="E59" s="4" t="s">
        <v>18</v>
      </c>
      <c r="F59" s="5" t="s">
        <v>17</v>
      </c>
      <c r="G59" s="4" t="s">
        <v>29</v>
      </c>
      <c r="H59" s="5" t="s">
        <v>17</v>
      </c>
      <c r="I59" s="4" t="s">
        <v>165</v>
      </c>
      <c r="J59" s="5" t="s">
        <v>166</v>
      </c>
      <c r="K59" s="5" t="s">
        <v>899</v>
      </c>
      <c r="L59" s="5" t="s">
        <v>17</v>
      </c>
      <c r="M59" s="4" t="s">
        <v>253</v>
      </c>
      <c r="N59" s="5" t="s">
        <v>254</v>
      </c>
      <c r="O59" s="5" t="s">
        <v>254</v>
      </c>
      <c r="P59" s="37" t="s">
        <v>453</v>
      </c>
      <c r="Q59" s="18">
        <v>151.84300990200001</v>
      </c>
    </row>
    <row r="60" spans="1:17" x14ac:dyDescent="0.3">
      <c r="A60" s="17" t="s">
        <v>14</v>
      </c>
      <c r="B60" s="5" t="s">
        <v>15</v>
      </c>
      <c r="C60" s="4" t="s">
        <v>16</v>
      </c>
      <c r="D60" s="5" t="s">
        <v>17</v>
      </c>
      <c r="E60" s="4" t="s">
        <v>18</v>
      </c>
      <c r="F60" s="5" t="s">
        <v>17</v>
      </c>
      <c r="G60" s="4" t="s">
        <v>55</v>
      </c>
      <c r="H60" s="5" t="s">
        <v>56</v>
      </c>
      <c r="I60" s="4" t="s">
        <v>57</v>
      </c>
      <c r="J60" s="5" t="s">
        <v>58</v>
      </c>
      <c r="K60" s="5" t="s">
        <v>902</v>
      </c>
      <c r="L60" s="5" t="s">
        <v>56</v>
      </c>
      <c r="M60" s="4" t="s">
        <v>255</v>
      </c>
      <c r="N60" s="5" t="s">
        <v>256</v>
      </c>
      <c r="O60" s="5" t="s">
        <v>256</v>
      </c>
      <c r="P60" s="37" t="s">
        <v>454</v>
      </c>
      <c r="Q60" s="18">
        <v>83.326889125899996</v>
      </c>
    </row>
    <row r="61" spans="1:17" ht="26.4" x14ac:dyDescent="0.3">
      <c r="A61" s="17" t="s">
        <v>34</v>
      </c>
      <c r="B61" s="5" t="s">
        <v>35</v>
      </c>
      <c r="C61" s="4" t="s">
        <v>16</v>
      </c>
      <c r="D61" s="5" t="s">
        <v>17</v>
      </c>
      <c r="E61" s="4" t="s">
        <v>36</v>
      </c>
      <c r="F61" s="5" t="s">
        <v>37</v>
      </c>
      <c r="G61" s="4" t="s">
        <v>68</v>
      </c>
      <c r="H61" s="5" t="s">
        <v>69</v>
      </c>
      <c r="I61" s="4" t="s">
        <v>131</v>
      </c>
      <c r="J61" s="5" t="s">
        <v>132</v>
      </c>
      <c r="K61" s="5" t="s">
        <v>908</v>
      </c>
      <c r="L61" s="5" t="s">
        <v>69</v>
      </c>
      <c r="M61" s="4" t="s">
        <v>257</v>
      </c>
      <c r="N61" s="5" t="s">
        <v>258</v>
      </c>
      <c r="O61" s="5" t="s">
        <v>258</v>
      </c>
      <c r="P61" s="37" t="s">
        <v>455</v>
      </c>
      <c r="Q61" s="18">
        <v>114.884755445</v>
      </c>
    </row>
    <row r="62" spans="1:17" x14ac:dyDescent="0.3">
      <c r="A62" s="17" t="s">
        <v>72</v>
      </c>
      <c r="B62" s="5" t="s">
        <v>73</v>
      </c>
      <c r="C62" s="4" t="s">
        <v>16</v>
      </c>
      <c r="D62" s="5" t="s">
        <v>17</v>
      </c>
      <c r="E62" s="4" t="s">
        <v>18</v>
      </c>
      <c r="F62" s="5" t="s">
        <v>17</v>
      </c>
      <c r="G62" s="4" t="s">
        <v>99</v>
      </c>
      <c r="H62" s="5" t="s">
        <v>100</v>
      </c>
      <c r="I62" s="4" t="s">
        <v>103</v>
      </c>
      <c r="J62" s="5" t="s">
        <v>104</v>
      </c>
      <c r="K62" s="5" t="s">
        <v>905</v>
      </c>
      <c r="L62" s="5" t="s">
        <v>100</v>
      </c>
      <c r="M62" s="4" t="s">
        <v>259</v>
      </c>
      <c r="N62" s="5" t="s">
        <v>260</v>
      </c>
      <c r="O62" s="5" t="s">
        <v>260</v>
      </c>
      <c r="P62" s="37" t="s">
        <v>456</v>
      </c>
      <c r="Q62" s="18">
        <v>54.182120662999999</v>
      </c>
    </row>
    <row r="63" spans="1:17" ht="52.8" x14ac:dyDescent="0.3">
      <c r="A63" s="17" t="s">
        <v>25</v>
      </c>
      <c r="B63" s="5" t="s">
        <v>26</v>
      </c>
      <c r="C63" s="4" t="s">
        <v>30</v>
      </c>
      <c r="D63" s="5" t="s">
        <v>32</v>
      </c>
      <c r="E63" s="4" t="s">
        <v>18</v>
      </c>
      <c r="F63" s="5" t="s">
        <v>17</v>
      </c>
      <c r="G63" s="4" t="s">
        <v>29</v>
      </c>
      <c r="H63" s="5" t="s">
        <v>17</v>
      </c>
      <c r="I63" s="4" t="s">
        <v>63</v>
      </c>
      <c r="J63" s="5" t="s">
        <v>64</v>
      </c>
      <c r="K63" s="5" t="s">
        <v>898</v>
      </c>
      <c r="L63" s="5" t="s">
        <v>32</v>
      </c>
      <c r="M63" s="4" t="s">
        <v>261</v>
      </c>
      <c r="N63" s="5" t="s">
        <v>262</v>
      </c>
      <c r="O63" s="5" t="s">
        <v>262</v>
      </c>
      <c r="P63" s="37" t="s">
        <v>457</v>
      </c>
      <c r="Q63" s="18">
        <v>19.649555271299999</v>
      </c>
    </row>
    <row r="64" spans="1:17" x14ac:dyDescent="0.3">
      <c r="A64" s="17" t="s">
        <v>92</v>
      </c>
      <c r="B64" s="5" t="s">
        <v>93</v>
      </c>
      <c r="C64" s="4" t="s">
        <v>16</v>
      </c>
      <c r="D64" s="5" t="s">
        <v>17</v>
      </c>
      <c r="E64" s="4" t="s">
        <v>18</v>
      </c>
      <c r="F64" s="5" t="s">
        <v>17</v>
      </c>
      <c r="G64" s="4" t="s">
        <v>114</v>
      </c>
      <c r="H64" s="5" t="s">
        <v>115</v>
      </c>
      <c r="I64" s="4" t="s">
        <v>149</v>
      </c>
      <c r="J64" s="5" t="s">
        <v>150</v>
      </c>
      <c r="K64" s="5" t="s">
        <v>906</v>
      </c>
      <c r="L64" s="5" t="s">
        <v>115</v>
      </c>
      <c r="M64" s="4" t="s">
        <v>263</v>
      </c>
      <c r="N64" s="5" t="s">
        <v>264</v>
      </c>
      <c r="O64" s="5" t="s">
        <v>264</v>
      </c>
      <c r="P64" s="37" t="s">
        <v>458</v>
      </c>
      <c r="Q64" s="18">
        <v>2841.1160880900002</v>
      </c>
    </row>
    <row r="65" spans="1:17" x14ac:dyDescent="0.3">
      <c r="A65" s="17" t="s">
        <v>72</v>
      </c>
      <c r="B65" s="5" t="s">
        <v>73</v>
      </c>
      <c r="C65" s="4" t="s">
        <v>16</v>
      </c>
      <c r="D65" s="5" t="s">
        <v>17</v>
      </c>
      <c r="E65" s="4" t="s">
        <v>18</v>
      </c>
      <c r="F65" s="5" t="s">
        <v>17</v>
      </c>
      <c r="G65" s="4" t="s">
        <v>99</v>
      </c>
      <c r="H65" s="5" t="s">
        <v>100</v>
      </c>
      <c r="I65" s="4" t="s">
        <v>103</v>
      </c>
      <c r="J65" s="5" t="s">
        <v>104</v>
      </c>
      <c r="K65" s="5" t="s">
        <v>905</v>
      </c>
      <c r="L65" s="5" t="s">
        <v>100</v>
      </c>
      <c r="M65" s="4" t="s">
        <v>265</v>
      </c>
      <c r="N65" s="5" t="s">
        <v>266</v>
      </c>
      <c r="O65" s="5" t="s">
        <v>266</v>
      </c>
      <c r="P65" s="37" t="s">
        <v>459</v>
      </c>
      <c r="Q65" s="18">
        <v>201.199157673</v>
      </c>
    </row>
    <row r="66" spans="1:17" x14ac:dyDescent="0.3">
      <c r="A66" s="17" t="s">
        <v>72</v>
      </c>
      <c r="B66" s="5" t="s">
        <v>73</v>
      </c>
      <c r="C66" s="4" t="s">
        <v>16</v>
      </c>
      <c r="D66" s="5" t="s">
        <v>17</v>
      </c>
      <c r="E66" s="4" t="s">
        <v>18</v>
      </c>
      <c r="F66" s="5" t="s">
        <v>17</v>
      </c>
      <c r="G66" s="4" t="s">
        <v>51</v>
      </c>
      <c r="H66" s="5" t="s">
        <v>52</v>
      </c>
      <c r="I66" s="4" t="s">
        <v>177</v>
      </c>
      <c r="J66" s="5" t="s">
        <v>178</v>
      </c>
      <c r="K66" s="5" t="s">
        <v>909</v>
      </c>
      <c r="L66" s="5" t="s">
        <v>52</v>
      </c>
      <c r="M66" s="4" t="s">
        <v>267</v>
      </c>
      <c r="N66" s="5" t="s">
        <v>268</v>
      </c>
      <c r="O66" s="5" t="s">
        <v>268</v>
      </c>
      <c r="P66" s="37" t="s">
        <v>460</v>
      </c>
      <c r="Q66" s="18">
        <v>205.00067575899999</v>
      </c>
    </row>
    <row r="67" spans="1:17" ht="26.4" x14ac:dyDescent="0.3">
      <c r="A67" s="17" t="s">
        <v>14</v>
      </c>
      <c r="B67" s="5" t="s">
        <v>15</v>
      </c>
      <c r="C67" s="4" t="s">
        <v>16</v>
      </c>
      <c r="D67" s="5" t="s">
        <v>17</v>
      </c>
      <c r="E67" s="4" t="s">
        <v>65</v>
      </c>
      <c r="F67" s="5" t="s">
        <v>66</v>
      </c>
      <c r="G67" s="4" t="s">
        <v>29</v>
      </c>
      <c r="H67" s="5" t="s">
        <v>17</v>
      </c>
      <c r="I67" s="4" t="s">
        <v>165</v>
      </c>
      <c r="J67" s="5" t="s">
        <v>166</v>
      </c>
      <c r="K67" s="5" t="s">
        <v>899</v>
      </c>
      <c r="L67" s="5" t="s">
        <v>17</v>
      </c>
      <c r="M67" s="4" t="s">
        <v>269</v>
      </c>
      <c r="N67" s="5" t="s">
        <v>270</v>
      </c>
      <c r="O67" s="5" t="s">
        <v>270</v>
      </c>
      <c r="P67" s="37" t="s">
        <v>461</v>
      </c>
      <c r="Q67" s="18">
        <v>132.71928526400001</v>
      </c>
    </row>
    <row r="68" spans="1:17" ht="52.8" x14ac:dyDescent="0.3">
      <c r="A68" s="17" t="s">
        <v>25</v>
      </c>
      <c r="B68" s="5" t="s">
        <v>26</v>
      </c>
      <c r="C68" s="4" t="s">
        <v>30</v>
      </c>
      <c r="D68" s="5" t="s">
        <v>32</v>
      </c>
      <c r="E68" s="4" t="s">
        <v>18</v>
      </c>
      <c r="F68" s="5" t="s">
        <v>17</v>
      </c>
      <c r="G68" s="4" t="s">
        <v>29</v>
      </c>
      <c r="H68" s="5" t="s">
        <v>17</v>
      </c>
      <c r="I68" s="4" t="s">
        <v>63</v>
      </c>
      <c r="J68" s="5" t="s">
        <v>64</v>
      </c>
      <c r="K68" s="5" t="s">
        <v>898</v>
      </c>
      <c r="L68" s="5" t="s">
        <v>32</v>
      </c>
      <c r="M68" s="4" t="s">
        <v>271</v>
      </c>
      <c r="N68" s="5" t="s">
        <v>272</v>
      </c>
      <c r="O68" s="5" t="s">
        <v>272</v>
      </c>
      <c r="P68" s="37" t="s">
        <v>462</v>
      </c>
      <c r="Q68" s="18">
        <v>36.807340511</v>
      </c>
    </row>
    <row r="69" spans="1:17" x14ac:dyDescent="0.3">
      <c r="A69" s="17" t="s">
        <v>72</v>
      </c>
      <c r="B69" s="5" t="s">
        <v>73</v>
      </c>
      <c r="C69" s="4" t="s">
        <v>16</v>
      </c>
      <c r="D69" s="5" t="s">
        <v>17</v>
      </c>
      <c r="E69" s="4" t="s">
        <v>18</v>
      </c>
      <c r="F69" s="5" t="s">
        <v>17</v>
      </c>
      <c r="G69" s="4" t="s">
        <v>51</v>
      </c>
      <c r="H69" s="5" t="s">
        <v>52</v>
      </c>
      <c r="I69" s="4" t="s">
        <v>177</v>
      </c>
      <c r="J69" s="5" t="s">
        <v>178</v>
      </c>
      <c r="K69" s="5" t="s">
        <v>909</v>
      </c>
      <c r="L69" s="5" t="s">
        <v>52</v>
      </c>
      <c r="M69" s="4" t="s">
        <v>273</v>
      </c>
      <c r="N69" s="5" t="s">
        <v>274</v>
      </c>
      <c r="O69" s="5" t="s">
        <v>274</v>
      </c>
      <c r="P69" s="37" t="s">
        <v>463</v>
      </c>
      <c r="Q69" s="18">
        <v>54.636079594500004</v>
      </c>
    </row>
    <row r="70" spans="1:17" ht="26.4" x14ac:dyDescent="0.3">
      <c r="A70" s="17" t="s">
        <v>14</v>
      </c>
      <c r="B70" s="5" t="s">
        <v>15</v>
      </c>
      <c r="C70" s="4" t="s">
        <v>16</v>
      </c>
      <c r="D70" s="5" t="s">
        <v>17</v>
      </c>
      <c r="E70" s="4" t="s">
        <v>65</v>
      </c>
      <c r="F70" s="5" t="s">
        <v>66</v>
      </c>
      <c r="G70" s="4" t="s">
        <v>19</v>
      </c>
      <c r="H70" s="5" t="s">
        <v>20</v>
      </c>
      <c r="I70" s="4" t="s">
        <v>165</v>
      </c>
      <c r="J70" s="5" t="s">
        <v>166</v>
      </c>
      <c r="K70" s="5" t="s">
        <v>900</v>
      </c>
      <c r="L70" s="5" t="s">
        <v>20</v>
      </c>
      <c r="M70" s="4" t="s">
        <v>275</v>
      </c>
      <c r="N70" s="5" t="s">
        <v>276</v>
      </c>
      <c r="O70" s="5" t="s">
        <v>276</v>
      </c>
      <c r="P70" s="37" t="s">
        <v>464</v>
      </c>
      <c r="Q70" s="18">
        <v>167.739650165</v>
      </c>
    </row>
    <row r="71" spans="1:17" ht="26.4" x14ac:dyDescent="0.3">
      <c r="A71" s="17" t="s">
        <v>34</v>
      </c>
      <c r="B71" s="5" t="s">
        <v>35</v>
      </c>
      <c r="C71" s="4" t="s">
        <v>16</v>
      </c>
      <c r="D71" s="5" t="s">
        <v>17</v>
      </c>
      <c r="E71" s="4" t="s">
        <v>36</v>
      </c>
      <c r="F71" s="5" t="s">
        <v>37</v>
      </c>
      <c r="G71" s="4" t="s">
        <v>29</v>
      </c>
      <c r="H71" s="5" t="s">
        <v>17</v>
      </c>
      <c r="I71" s="4" t="s">
        <v>131</v>
      </c>
      <c r="J71" s="5" t="s">
        <v>132</v>
      </c>
      <c r="K71" s="5" t="s">
        <v>899</v>
      </c>
      <c r="L71" s="5" t="s">
        <v>17</v>
      </c>
      <c r="M71" s="4" t="s">
        <v>277</v>
      </c>
      <c r="N71" s="5" t="s">
        <v>278</v>
      </c>
      <c r="O71" s="5" t="s">
        <v>278</v>
      </c>
      <c r="P71" s="37" t="s">
        <v>465</v>
      </c>
      <c r="Q71" s="18">
        <v>216.41644316099999</v>
      </c>
    </row>
    <row r="72" spans="1:17" ht="26.4" x14ac:dyDescent="0.3">
      <c r="A72" s="17" t="s">
        <v>61</v>
      </c>
      <c r="B72" s="5" t="s">
        <v>62</v>
      </c>
      <c r="C72" s="4" t="s">
        <v>16</v>
      </c>
      <c r="D72" s="5" t="s">
        <v>17</v>
      </c>
      <c r="E72" s="4" t="s">
        <v>18</v>
      </c>
      <c r="F72" s="5" t="s">
        <v>17</v>
      </c>
      <c r="G72" s="4" t="s">
        <v>29</v>
      </c>
      <c r="H72" s="5" t="s">
        <v>17</v>
      </c>
      <c r="I72" s="4" t="s">
        <v>94</v>
      </c>
      <c r="J72" s="5" t="s">
        <v>95</v>
      </c>
      <c r="K72" s="5" t="s">
        <v>899</v>
      </c>
      <c r="L72" s="5" t="s">
        <v>17</v>
      </c>
      <c r="M72" s="4" t="s">
        <v>279</v>
      </c>
      <c r="N72" s="5" t="s">
        <v>280</v>
      </c>
      <c r="O72" s="5" t="s">
        <v>280</v>
      </c>
      <c r="P72" s="37" t="s">
        <v>466</v>
      </c>
      <c r="Q72" s="18">
        <v>455.64590205899998</v>
      </c>
    </row>
    <row r="73" spans="1:17" ht="26.4" x14ac:dyDescent="0.3">
      <c r="A73" s="17" t="s">
        <v>14</v>
      </c>
      <c r="B73" s="5" t="s">
        <v>15</v>
      </c>
      <c r="C73" s="4" t="s">
        <v>16</v>
      </c>
      <c r="D73" s="5" t="s">
        <v>17</v>
      </c>
      <c r="E73" s="4" t="s">
        <v>18</v>
      </c>
      <c r="F73" s="5" t="s">
        <v>17</v>
      </c>
      <c r="G73" s="4" t="s">
        <v>55</v>
      </c>
      <c r="H73" s="5" t="s">
        <v>56</v>
      </c>
      <c r="I73" s="4" t="s">
        <v>165</v>
      </c>
      <c r="J73" s="5" t="s">
        <v>166</v>
      </c>
      <c r="K73" s="5" t="s">
        <v>902</v>
      </c>
      <c r="L73" s="5" t="s">
        <v>56</v>
      </c>
      <c r="M73" s="4" t="s">
        <v>281</v>
      </c>
      <c r="N73" s="5" t="s">
        <v>282</v>
      </c>
      <c r="O73" s="5" t="s">
        <v>282</v>
      </c>
      <c r="P73" s="37" t="s">
        <v>467</v>
      </c>
      <c r="Q73" s="18">
        <v>112.286049327</v>
      </c>
    </row>
    <row r="74" spans="1:17" x14ac:dyDescent="0.3">
      <c r="A74" s="17" t="s">
        <v>72</v>
      </c>
      <c r="B74" s="5" t="s">
        <v>73</v>
      </c>
      <c r="C74" s="4" t="s">
        <v>16</v>
      </c>
      <c r="D74" s="5" t="s">
        <v>17</v>
      </c>
      <c r="E74" s="4" t="s">
        <v>18</v>
      </c>
      <c r="F74" s="5" t="s">
        <v>17</v>
      </c>
      <c r="G74" s="4" t="s">
        <v>51</v>
      </c>
      <c r="H74" s="5" t="s">
        <v>52</v>
      </c>
      <c r="I74" s="4" t="s">
        <v>177</v>
      </c>
      <c r="J74" s="5" t="s">
        <v>178</v>
      </c>
      <c r="K74" s="5" t="s">
        <v>909</v>
      </c>
      <c r="L74" s="5" t="s">
        <v>52</v>
      </c>
      <c r="M74" s="4" t="s">
        <v>283</v>
      </c>
      <c r="N74" s="5" t="s">
        <v>284</v>
      </c>
      <c r="O74" s="5" t="s">
        <v>284</v>
      </c>
      <c r="P74" s="37" t="s">
        <v>468</v>
      </c>
      <c r="Q74" s="18">
        <v>76.0214720309</v>
      </c>
    </row>
    <row r="75" spans="1:17" ht="26.4" x14ac:dyDescent="0.3">
      <c r="A75" s="17" t="s">
        <v>127</v>
      </c>
      <c r="B75" s="5" t="s">
        <v>128</v>
      </c>
      <c r="C75" s="4" t="s">
        <v>16</v>
      </c>
      <c r="D75" s="5" t="s">
        <v>17</v>
      </c>
      <c r="E75" s="4" t="s">
        <v>96</v>
      </c>
      <c r="F75" s="5" t="s">
        <v>97</v>
      </c>
      <c r="G75" s="4" t="s">
        <v>29</v>
      </c>
      <c r="H75" s="5" t="s">
        <v>17</v>
      </c>
      <c r="I75" s="4" t="s">
        <v>185</v>
      </c>
      <c r="J75" s="5" t="s">
        <v>186</v>
      </c>
      <c r="K75" s="5" t="s">
        <v>899</v>
      </c>
      <c r="L75" s="5" t="s">
        <v>17</v>
      </c>
      <c r="M75" s="4" t="s">
        <v>285</v>
      </c>
      <c r="N75" s="5" t="s">
        <v>286</v>
      </c>
      <c r="O75" s="5" t="s">
        <v>286</v>
      </c>
      <c r="P75" s="37" t="s">
        <v>469</v>
      </c>
      <c r="Q75" s="18">
        <v>1266.2015605199999</v>
      </c>
    </row>
    <row r="76" spans="1:17" x14ac:dyDescent="0.3">
      <c r="A76" s="17" t="s">
        <v>127</v>
      </c>
      <c r="B76" s="5" t="s">
        <v>128</v>
      </c>
      <c r="C76" s="4" t="s">
        <v>16</v>
      </c>
      <c r="D76" s="5" t="s">
        <v>17</v>
      </c>
      <c r="E76" s="4" t="s">
        <v>96</v>
      </c>
      <c r="F76" s="5" t="s">
        <v>97</v>
      </c>
      <c r="G76" s="4" t="s">
        <v>29</v>
      </c>
      <c r="H76" s="5" t="s">
        <v>17</v>
      </c>
      <c r="I76" s="4" t="s">
        <v>139</v>
      </c>
      <c r="J76" s="5" t="s">
        <v>28</v>
      </c>
      <c r="K76" s="5" t="s">
        <v>899</v>
      </c>
      <c r="L76" s="5" t="s">
        <v>17</v>
      </c>
      <c r="M76" s="4" t="s">
        <v>287</v>
      </c>
      <c r="N76" s="5" t="s">
        <v>288</v>
      </c>
      <c r="O76" s="5" t="s">
        <v>288</v>
      </c>
      <c r="P76" s="37" t="s">
        <v>470</v>
      </c>
      <c r="Q76" s="18">
        <v>1074.9473129800001</v>
      </c>
    </row>
    <row r="77" spans="1:17" x14ac:dyDescent="0.3">
      <c r="A77" s="17" t="s">
        <v>14</v>
      </c>
      <c r="B77" s="5" t="s">
        <v>15</v>
      </c>
      <c r="C77" s="4" t="s">
        <v>16</v>
      </c>
      <c r="D77" s="5" t="s">
        <v>17</v>
      </c>
      <c r="E77" s="4" t="s">
        <v>18</v>
      </c>
      <c r="F77" s="5" t="s">
        <v>17</v>
      </c>
      <c r="G77" s="4" t="s">
        <v>19</v>
      </c>
      <c r="H77" s="5" t="s">
        <v>20</v>
      </c>
      <c r="I77" s="4" t="s">
        <v>21</v>
      </c>
      <c r="J77" s="5" t="s">
        <v>22</v>
      </c>
      <c r="K77" s="5" t="s">
        <v>900</v>
      </c>
      <c r="L77" s="5" t="s">
        <v>20</v>
      </c>
      <c r="M77" s="4" t="s">
        <v>289</v>
      </c>
      <c r="N77" s="5" t="s">
        <v>290</v>
      </c>
      <c r="O77" s="5" t="s">
        <v>290</v>
      </c>
      <c r="P77" s="37" t="s">
        <v>471</v>
      </c>
      <c r="Q77" s="18">
        <v>316.76741830100002</v>
      </c>
    </row>
    <row r="78" spans="1:17" ht="26.4" x14ac:dyDescent="0.3">
      <c r="A78" s="17" t="s">
        <v>44</v>
      </c>
      <c r="B78" s="5" t="s">
        <v>45</v>
      </c>
      <c r="C78" s="4" t="s">
        <v>16</v>
      </c>
      <c r="D78" s="5" t="s">
        <v>17</v>
      </c>
      <c r="E78" s="4" t="s">
        <v>48</v>
      </c>
      <c r="F78" s="5" t="s">
        <v>49</v>
      </c>
      <c r="G78" s="4" t="s">
        <v>29</v>
      </c>
      <c r="H78" s="5" t="s">
        <v>17</v>
      </c>
      <c r="I78" s="4" t="s">
        <v>82</v>
      </c>
      <c r="J78" s="5" t="s">
        <v>45</v>
      </c>
      <c r="K78" s="5" t="s">
        <v>899</v>
      </c>
      <c r="L78" s="5" t="s">
        <v>17</v>
      </c>
      <c r="M78" s="4" t="s">
        <v>291</v>
      </c>
      <c r="N78" s="5" t="s">
        <v>292</v>
      </c>
      <c r="O78" s="5" t="s">
        <v>292</v>
      </c>
      <c r="P78" s="37" t="s">
        <v>472</v>
      </c>
      <c r="Q78" s="18">
        <v>937.32294476100003</v>
      </c>
    </row>
    <row r="79" spans="1:17" x14ac:dyDescent="0.3">
      <c r="A79" s="17" t="s">
        <v>127</v>
      </c>
      <c r="B79" s="5" t="s">
        <v>128</v>
      </c>
      <c r="C79" s="4" t="s">
        <v>16</v>
      </c>
      <c r="D79" s="5" t="s">
        <v>17</v>
      </c>
      <c r="E79" s="4" t="s">
        <v>96</v>
      </c>
      <c r="F79" s="5" t="s">
        <v>97</v>
      </c>
      <c r="G79" s="4" t="s">
        <v>29</v>
      </c>
      <c r="H79" s="5" t="s">
        <v>17</v>
      </c>
      <c r="I79" s="4" t="s">
        <v>146</v>
      </c>
      <c r="J79" s="5" t="s">
        <v>93</v>
      </c>
      <c r="K79" s="5" t="s">
        <v>899</v>
      </c>
      <c r="L79" s="5" t="s">
        <v>17</v>
      </c>
      <c r="M79" s="4" t="s">
        <v>293</v>
      </c>
      <c r="N79" s="5" t="s">
        <v>294</v>
      </c>
      <c r="O79" s="5" t="s">
        <v>294</v>
      </c>
      <c r="P79" s="37" t="s">
        <v>473</v>
      </c>
      <c r="Q79" s="18">
        <v>1255.5854784600001</v>
      </c>
    </row>
    <row r="80" spans="1:17" ht="26.4" x14ac:dyDescent="0.3">
      <c r="A80" s="17" t="s">
        <v>34</v>
      </c>
      <c r="B80" s="5" t="s">
        <v>35</v>
      </c>
      <c r="C80" s="4" t="s">
        <v>16</v>
      </c>
      <c r="D80" s="5" t="s">
        <v>17</v>
      </c>
      <c r="E80" s="4" t="s">
        <v>36</v>
      </c>
      <c r="F80" s="5" t="s">
        <v>37</v>
      </c>
      <c r="G80" s="4" t="s">
        <v>68</v>
      </c>
      <c r="H80" s="5" t="s">
        <v>69</v>
      </c>
      <c r="I80" s="4" t="s">
        <v>131</v>
      </c>
      <c r="J80" s="5" t="s">
        <v>132</v>
      </c>
      <c r="K80" s="5" t="s">
        <v>908</v>
      </c>
      <c r="L80" s="5" t="s">
        <v>69</v>
      </c>
      <c r="M80" s="4" t="s">
        <v>295</v>
      </c>
      <c r="N80" s="5" t="s">
        <v>296</v>
      </c>
      <c r="O80" s="5" t="s">
        <v>296</v>
      </c>
      <c r="P80" s="37" t="s">
        <v>474</v>
      </c>
      <c r="Q80" s="18">
        <v>86.986191841199997</v>
      </c>
    </row>
    <row r="81" spans="1:17" ht="26.4" x14ac:dyDescent="0.3">
      <c r="A81" s="17" t="s">
        <v>34</v>
      </c>
      <c r="B81" s="5" t="s">
        <v>35</v>
      </c>
      <c r="C81" s="4" t="s">
        <v>16</v>
      </c>
      <c r="D81" s="5" t="s">
        <v>17</v>
      </c>
      <c r="E81" s="4" t="s">
        <v>36</v>
      </c>
      <c r="F81" s="5" t="s">
        <v>37</v>
      </c>
      <c r="G81" s="4" t="s">
        <v>38</v>
      </c>
      <c r="H81" s="5" t="s">
        <v>39</v>
      </c>
      <c r="I81" s="4" t="s">
        <v>40</v>
      </c>
      <c r="J81" s="5" t="s">
        <v>41</v>
      </c>
      <c r="K81" s="5" t="s">
        <v>901</v>
      </c>
      <c r="L81" s="5" t="s">
        <v>39</v>
      </c>
      <c r="M81" s="4" t="s">
        <v>297</v>
      </c>
      <c r="N81" s="5" t="s">
        <v>298</v>
      </c>
      <c r="O81" s="5" t="s">
        <v>298</v>
      </c>
      <c r="P81" s="37" t="s">
        <v>475</v>
      </c>
      <c r="Q81" s="18">
        <v>434.06904345800001</v>
      </c>
    </row>
    <row r="82" spans="1:17" x14ac:dyDescent="0.3">
      <c r="A82" s="17" t="s">
        <v>72</v>
      </c>
      <c r="B82" s="5" t="s">
        <v>73</v>
      </c>
      <c r="C82" s="4" t="s">
        <v>16</v>
      </c>
      <c r="D82" s="5" t="s">
        <v>17</v>
      </c>
      <c r="E82" s="4" t="s">
        <v>18</v>
      </c>
      <c r="F82" s="5" t="s">
        <v>17</v>
      </c>
      <c r="G82" s="4" t="s">
        <v>51</v>
      </c>
      <c r="H82" s="5" t="s">
        <v>52</v>
      </c>
      <c r="I82" s="4" t="s">
        <v>177</v>
      </c>
      <c r="J82" s="5" t="s">
        <v>178</v>
      </c>
      <c r="K82" s="5" t="s">
        <v>909</v>
      </c>
      <c r="L82" s="5" t="s">
        <v>52</v>
      </c>
      <c r="M82" s="4" t="s">
        <v>299</v>
      </c>
      <c r="N82" s="5" t="s">
        <v>300</v>
      </c>
      <c r="O82" s="5" t="s">
        <v>300</v>
      </c>
      <c r="P82" s="37" t="s">
        <v>476</v>
      </c>
      <c r="Q82" s="18">
        <v>75.432859726299995</v>
      </c>
    </row>
    <row r="83" spans="1:17" ht="26.4" x14ac:dyDescent="0.3">
      <c r="A83" s="17" t="s">
        <v>61</v>
      </c>
      <c r="B83" s="5" t="s">
        <v>62</v>
      </c>
      <c r="C83" s="4" t="s">
        <v>16</v>
      </c>
      <c r="D83" s="5" t="s">
        <v>17</v>
      </c>
      <c r="E83" s="4" t="s">
        <v>18</v>
      </c>
      <c r="F83" s="5" t="s">
        <v>17</v>
      </c>
      <c r="G83" s="4" t="s">
        <v>29</v>
      </c>
      <c r="H83" s="5" t="s">
        <v>17</v>
      </c>
      <c r="I83" s="4" t="s">
        <v>107</v>
      </c>
      <c r="J83" s="5" t="s">
        <v>108</v>
      </c>
      <c r="K83" s="5" t="s">
        <v>899</v>
      </c>
      <c r="L83" s="5" t="s">
        <v>17</v>
      </c>
      <c r="M83" s="4" t="s">
        <v>301</v>
      </c>
      <c r="N83" s="5" t="s">
        <v>302</v>
      </c>
      <c r="O83" s="5" t="s">
        <v>302</v>
      </c>
      <c r="P83" s="37" t="s">
        <v>477</v>
      </c>
      <c r="Q83" s="18">
        <v>1220.1091745199999</v>
      </c>
    </row>
    <row r="84" spans="1:17" ht="26.4" x14ac:dyDescent="0.3">
      <c r="A84" s="17" t="s">
        <v>61</v>
      </c>
      <c r="B84" s="5" t="s">
        <v>62</v>
      </c>
      <c r="C84" s="4" t="s">
        <v>16</v>
      </c>
      <c r="D84" s="5" t="s">
        <v>17</v>
      </c>
      <c r="E84" s="4" t="s">
        <v>18</v>
      </c>
      <c r="F84" s="5" t="s">
        <v>17</v>
      </c>
      <c r="G84" s="4" t="s">
        <v>29</v>
      </c>
      <c r="H84" s="5" t="s">
        <v>17</v>
      </c>
      <c r="I84" s="4" t="s">
        <v>107</v>
      </c>
      <c r="J84" s="5" t="s">
        <v>108</v>
      </c>
      <c r="K84" s="5" t="s">
        <v>899</v>
      </c>
      <c r="L84" s="5" t="s">
        <v>17</v>
      </c>
      <c r="M84" s="4" t="s">
        <v>303</v>
      </c>
      <c r="N84" s="5" t="s">
        <v>304</v>
      </c>
      <c r="O84" s="5" t="s">
        <v>304</v>
      </c>
      <c r="P84" s="37" t="s">
        <v>478</v>
      </c>
      <c r="Q84" s="18">
        <v>579.55984428900001</v>
      </c>
    </row>
    <row r="85" spans="1:17" ht="26.4" x14ac:dyDescent="0.3">
      <c r="A85" s="17" t="s">
        <v>61</v>
      </c>
      <c r="B85" s="5" t="s">
        <v>62</v>
      </c>
      <c r="C85" s="4" t="s">
        <v>16</v>
      </c>
      <c r="D85" s="5" t="s">
        <v>17</v>
      </c>
      <c r="E85" s="4" t="s">
        <v>18</v>
      </c>
      <c r="F85" s="5" t="s">
        <v>17</v>
      </c>
      <c r="G85" s="4" t="s">
        <v>29</v>
      </c>
      <c r="H85" s="5" t="s">
        <v>17</v>
      </c>
      <c r="I85" s="4" t="s">
        <v>107</v>
      </c>
      <c r="J85" s="5" t="s">
        <v>108</v>
      </c>
      <c r="K85" s="5" t="s">
        <v>899</v>
      </c>
      <c r="L85" s="5" t="s">
        <v>17</v>
      </c>
      <c r="M85" s="4" t="s">
        <v>305</v>
      </c>
      <c r="N85" s="5" t="s">
        <v>306</v>
      </c>
      <c r="O85" s="5" t="s">
        <v>306</v>
      </c>
      <c r="P85" s="37" t="s">
        <v>479</v>
      </c>
      <c r="Q85" s="18">
        <v>369.58566246300001</v>
      </c>
    </row>
    <row r="86" spans="1:17" x14ac:dyDescent="0.3">
      <c r="A86" s="17" t="s">
        <v>80</v>
      </c>
      <c r="B86" s="5" t="s">
        <v>81</v>
      </c>
      <c r="C86" s="4" t="s">
        <v>16</v>
      </c>
      <c r="D86" s="5" t="s">
        <v>17</v>
      </c>
      <c r="E86" s="4" t="s">
        <v>18</v>
      </c>
      <c r="F86" s="5" t="s">
        <v>17</v>
      </c>
      <c r="G86" s="4" t="s">
        <v>86</v>
      </c>
      <c r="H86" s="5" t="s">
        <v>87</v>
      </c>
      <c r="I86" s="4" t="s">
        <v>120</v>
      </c>
      <c r="J86" s="5" t="s">
        <v>121</v>
      </c>
      <c r="K86" s="5" t="s">
        <v>904</v>
      </c>
      <c r="L86" s="5" t="s">
        <v>87</v>
      </c>
      <c r="M86" s="4" t="s">
        <v>307</v>
      </c>
      <c r="N86" s="5" t="s">
        <v>308</v>
      </c>
      <c r="O86" s="5" t="s">
        <v>308</v>
      </c>
      <c r="P86" s="37" t="s">
        <v>480</v>
      </c>
      <c r="Q86" s="18">
        <v>1966.84180735</v>
      </c>
    </row>
    <row r="87" spans="1:17" ht="26.4" x14ac:dyDescent="0.3">
      <c r="A87" s="17" t="s">
        <v>14</v>
      </c>
      <c r="B87" s="5" t="s">
        <v>15</v>
      </c>
      <c r="C87" s="4" t="s">
        <v>16</v>
      </c>
      <c r="D87" s="5" t="s">
        <v>17</v>
      </c>
      <c r="E87" s="4" t="s">
        <v>65</v>
      </c>
      <c r="F87" s="5" t="s">
        <v>66</v>
      </c>
      <c r="G87" s="4" t="s">
        <v>29</v>
      </c>
      <c r="H87" s="5" t="s">
        <v>17</v>
      </c>
      <c r="I87" s="4" t="s">
        <v>165</v>
      </c>
      <c r="J87" s="5" t="s">
        <v>166</v>
      </c>
      <c r="K87" s="5" t="s">
        <v>899</v>
      </c>
      <c r="L87" s="5" t="s">
        <v>17</v>
      </c>
      <c r="M87" s="4" t="s">
        <v>309</v>
      </c>
      <c r="N87" s="5" t="s">
        <v>310</v>
      </c>
      <c r="O87" s="5" t="s">
        <v>310</v>
      </c>
      <c r="P87" s="37" t="s">
        <v>481</v>
      </c>
      <c r="Q87" s="18">
        <v>195.91096419499999</v>
      </c>
    </row>
    <row r="88" spans="1:17" ht="26.4" x14ac:dyDescent="0.3">
      <c r="A88" s="17" t="s">
        <v>34</v>
      </c>
      <c r="B88" s="5" t="s">
        <v>35</v>
      </c>
      <c r="C88" s="4" t="s">
        <v>16</v>
      </c>
      <c r="D88" s="5" t="s">
        <v>17</v>
      </c>
      <c r="E88" s="4" t="s">
        <v>18</v>
      </c>
      <c r="F88" s="5" t="s">
        <v>17</v>
      </c>
      <c r="G88" s="4" t="s">
        <v>68</v>
      </c>
      <c r="H88" s="5" t="s">
        <v>69</v>
      </c>
      <c r="I88" s="4" t="s">
        <v>131</v>
      </c>
      <c r="J88" s="5" t="s">
        <v>132</v>
      </c>
      <c r="K88" s="5" t="s">
        <v>908</v>
      </c>
      <c r="L88" s="5" t="s">
        <v>69</v>
      </c>
      <c r="M88" s="4" t="s">
        <v>311</v>
      </c>
      <c r="N88" s="5" t="s">
        <v>312</v>
      </c>
      <c r="O88" s="5" t="s">
        <v>312</v>
      </c>
      <c r="P88" s="37" t="s">
        <v>482</v>
      </c>
      <c r="Q88" s="18">
        <v>265.76441608599998</v>
      </c>
    </row>
    <row r="89" spans="1:17" ht="52.8" x14ac:dyDescent="0.3">
      <c r="A89" s="17" t="s">
        <v>25</v>
      </c>
      <c r="B89" s="5" t="s">
        <v>26</v>
      </c>
      <c r="C89" s="4" t="s">
        <v>30</v>
      </c>
      <c r="D89" s="5" t="s">
        <v>32</v>
      </c>
      <c r="E89" s="4" t="s">
        <v>18</v>
      </c>
      <c r="F89" s="5" t="s">
        <v>17</v>
      </c>
      <c r="G89" s="4" t="s">
        <v>29</v>
      </c>
      <c r="H89" s="5" t="s">
        <v>17</v>
      </c>
      <c r="I89" s="4" t="s">
        <v>63</v>
      </c>
      <c r="J89" s="5" t="s">
        <v>64</v>
      </c>
      <c r="K89" s="5" t="s">
        <v>898</v>
      </c>
      <c r="L89" s="5" t="s">
        <v>32</v>
      </c>
      <c r="M89" s="4" t="s">
        <v>313</v>
      </c>
      <c r="N89" s="5" t="s">
        <v>314</v>
      </c>
      <c r="O89" s="5" t="s">
        <v>314</v>
      </c>
      <c r="P89" s="37" t="s">
        <v>483</v>
      </c>
      <c r="Q89" s="18">
        <v>15.659282936</v>
      </c>
    </row>
    <row r="90" spans="1:17" x14ac:dyDescent="0.3">
      <c r="A90" s="17" t="s">
        <v>72</v>
      </c>
      <c r="B90" s="5" t="s">
        <v>73</v>
      </c>
      <c r="C90" s="4" t="s">
        <v>16</v>
      </c>
      <c r="D90" s="5" t="s">
        <v>17</v>
      </c>
      <c r="E90" s="4" t="s">
        <v>18</v>
      </c>
      <c r="F90" s="5" t="s">
        <v>17</v>
      </c>
      <c r="G90" s="4" t="s">
        <v>99</v>
      </c>
      <c r="H90" s="5" t="s">
        <v>100</v>
      </c>
      <c r="I90" s="4" t="s">
        <v>167</v>
      </c>
      <c r="J90" s="5" t="s">
        <v>168</v>
      </c>
      <c r="K90" s="5" t="s">
        <v>905</v>
      </c>
      <c r="L90" s="5" t="s">
        <v>100</v>
      </c>
      <c r="M90" s="4" t="s">
        <v>315</v>
      </c>
      <c r="N90" s="5" t="s">
        <v>316</v>
      </c>
      <c r="O90" s="5" t="s">
        <v>316</v>
      </c>
      <c r="P90" s="37" t="s">
        <v>484</v>
      </c>
      <c r="Q90" s="18">
        <v>288.23494197399998</v>
      </c>
    </row>
    <row r="91" spans="1:17" ht="39.6" x14ac:dyDescent="0.3">
      <c r="A91" s="17" t="s">
        <v>92</v>
      </c>
      <c r="B91" s="5" t="s">
        <v>93</v>
      </c>
      <c r="C91" s="4" t="s">
        <v>16</v>
      </c>
      <c r="D91" s="5" t="s">
        <v>17</v>
      </c>
      <c r="E91" s="4" t="s">
        <v>18</v>
      </c>
      <c r="F91" s="5" t="s">
        <v>17</v>
      </c>
      <c r="G91" s="4" t="s">
        <v>114</v>
      </c>
      <c r="H91" s="5" t="s">
        <v>115</v>
      </c>
      <c r="I91" s="4" t="s">
        <v>149</v>
      </c>
      <c r="J91" s="5" t="s">
        <v>150</v>
      </c>
      <c r="K91" s="5" t="s">
        <v>906</v>
      </c>
      <c r="L91" s="5" t="s">
        <v>115</v>
      </c>
      <c r="M91" s="4" t="s">
        <v>317</v>
      </c>
      <c r="N91" s="5" t="s">
        <v>318</v>
      </c>
      <c r="O91" s="5" t="s">
        <v>318</v>
      </c>
      <c r="P91" s="37" t="s">
        <v>485</v>
      </c>
      <c r="Q91" s="18">
        <v>206.862429392</v>
      </c>
    </row>
    <row r="92" spans="1:17" x14ac:dyDescent="0.3">
      <c r="A92" s="17" t="s">
        <v>14</v>
      </c>
      <c r="B92" s="5" t="s">
        <v>15</v>
      </c>
      <c r="C92" s="4" t="s">
        <v>16</v>
      </c>
      <c r="D92" s="5" t="s">
        <v>17</v>
      </c>
      <c r="E92" s="4" t="s">
        <v>18</v>
      </c>
      <c r="F92" s="5" t="s">
        <v>17</v>
      </c>
      <c r="G92" s="4" t="s">
        <v>55</v>
      </c>
      <c r="H92" s="5" t="s">
        <v>56</v>
      </c>
      <c r="I92" s="4" t="s">
        <v>57</v>
      </c>
      <c r="J92" s="5" t="s">
        <v>58</v>
      </c>
      <c r="K92" s="5" t="s">
        <v>902</v>
      </c>
      <c r="L92" s="5" t="s">
        <v>56</v>
      </c>
      <c r="M92" s="4" t="s">
        <v>319</v>
      </c>
      <c r="N92" s="5" t="s">
        <v>320</v>
      </c>
      <c r="O92" s="5" t="s">
        <v>320</v>
      </c>
      <c r="P92" s="37" t="s">
        <v>486</v>
      </c>
      <c r="Q92" s="18">
        <v>716.91903398600004</v>
      </c>
    </row>
    <row r="93" spans="1:17" ht="26.4" x14ac:dyDescent="0.3">
      <c r="A93" s="17" t="s">
        <v>14</v>
      </c>
      <c r="B93" s="5" t="s">
        <v>15</v>
      </c>
      <c r="C93" s="4" t="s">
        <v>16</v>
      </c>
      <c r="D93" s="5" t="s">
        <v>17</v>
      </c>
      <c r="E93" s="4" t="s">
        <v>18</v>
      </c>
      <c r="F93" s="5" t="s">
        <v>17</v>
      </c>
      <c r="G93" s="4" t="s">
        <v>55</v>
      </c>
      <c r="H93" s="5" t="s">
        <v>56</v>
      </c>
      <c r="I93" s="4" t="s">
        <v>161</v>
      </c>
      <c r="J93" s="5" t="s">
        <v>162</v>
      </c>
      <c r="K93" s="5" t="s">
        <v>902</v>
      </c>
      <c r="L93" s="5" t="s">
        <v>56</v>
      </c>
      <c r="M93" s="4" t="s">
        <v>321</v>
      </c>
      <c r="N93" s="5" t="s">
        <v>322</v>
      </c>
      <c r="O93" s="5" t="s">
        <v>322</v>
      </c>
      <c r="P93" s="37" t="s">
        <v>487</v>
      </c>
      <c r="Q93" s="18">
        <v>354.43552145400002</v>
      </c>
    </row>
    <row r="94" spans="1:17" ht="26.4" x14ac:dyDescent="0.3">
      <c r="A94" s="17" t="s">
        <v>34</v>
      </c>
      <c r="B94" s="5" t="s">
        <v>35</v>
      </c>
      <c r="C94" s="4" t="s">
        <v>16</v>
      </c>
      <c r="D94" s="5" t="s">
        <v>17</v>
      </c>
      <c r="E94" s="4" t="s">
        <v>36</v>
      </c>
      <c r="F94" s="5" t="s">
        <v>37</v>
      </c>
      <c r="G94" s="4" t="s">
        <v>68</v>
      </c>
      <c r="H94" s="5" t="s">
        <v>69</v>
      </c>
      <c r="I94" s="4" t="s">
        <v>131</v>
      </c>
      <c r="J94" s="5" t="s">
        <v>132</v>
      </c>
      <c r="K94" s="5" t="s">
        <v>908</v>
      </c>
      <c r="L94" s="5" t="s">
        <v>69</v>
      </c>
      <c r="M94" s="4" t="s">
        <v>323</v>
      </c>
      <c r="N94" s="5" t="s">
        <v>324</v>
      </c>
      <c r="O94" s="5" t="s">
        <v>324</v>
      </c>
      <c r="P94" s="37" t="s">
        <v>488</v>
      </c>
      <c r="Q94" s="18">
        <v>161.26572003699999</v>
      </c>
    </row>
    <row r="95" spans="1:17" ht="39.6" x14ac:dyDescent="0.3">
      <c r="A95" s="17" t="s">
        <v>92</v>
      </c>
      <c r="B95" s="5" t="s">
        <v>93</v>
      </c>
      <c r="C95" s="4" t="s">
        <v>16</v>
      </c>
      <c r="D95" s="5" t="s">
        <v>17</v>
      </c>
      <c r="E95" s="4" t="s">
        <v>18</v>
      </c>
      <c r="F95" s="5" t="s">
        <v>17</v>
      </c>
      <c r="G95" s="4" t="s">
        <v>114</v>
      </c>
      <c r="H95" s="5" t="s">
        <v>115</v>
      </c>
      <c r="I95" s="4" t="s">
        <v>142</v>
      </c>
      <c r="J95" s="5" t="s">
        <v>143</v>
      </c>
      <c r="K95" s="5" t="s">
        <v>906</v>
      </c>
      <c r="L95" s="5" t="s">
        <v>115</v>
      </c>
      <c r="M95" s="4" t="s">
        <v>325</v>
      </c>
      <c r="N95" s="5" t="s">
        <v>326</v>
      </c>
      <c r="O95" s="5" t="s">
        <v>326</v>
      </c>
      <c r="P95" s="37" t="s">
        <v>489</v>
      </c>
      <c r="Q95" s="18">
        <v>126.073583685</v>
      </c>
    </row>
    <row r="96" spans="1:17" ht="26.4" x14ac:dyDescent="0.3">
      <c r="A96" s="17" t="s">
        <v>127</v>
      </c>
      <c r="B96" s="5" t="s">
        <v>128</v>
      </c>
      <c r="C96" s="4" t="s">
        <v>16</v>
      </c>
      <c r="D96" s="5" t="s">
        <v>17</v>
      </c>
      <c r="E96" s="4" t="s">
        <v>96</v>
      </c>
      <c r="F96" s="5" t="s">
        <v>97</v>
      </c>
      <c r="G96" s="4" t="s">
        <v>29</v>
      </c>
      <c r="H96" s="5" t="s">
        <v>17</v>
      </c>
      <c r="I96" s="4" t="s">
        <v>146</v>
      </c>
      <c r="J96" s="5" t="s">
        <v>93</v>
      </c>
      <c r="K96" s="5" t="s">
        <v>899</v>
      </c>
      <c r="L96" s="5" t="s">
        <v>17</v>
      </c>
      <c r="M96" s="4" t="s">
        <v>327</v>
      </c>
      <c r="N96" s="5" t="s">
        <v>328</v>
      </c>
      <c r="O96" s="5" t="s">
        <v>328</v>
      </c>
      <c r="P96" s="37" t="s">
        <v>490</v>
      </c>
      <c r="Q96" s="18">
        <v>252.03438434099999</v>
      </c>
    </row>
    <row r="97" spans="1:17" x14ac:dyDescent="0.3">
      <c r="A97" s="17" t="s">
        <v>14</v>
      </c>
      <c r="B97" s="5" t="s">
        <v>15</v>
      </c>
      <c r="C97" s="4" t="s">
        <v>16</v>
      </c>
      <c r="D97" s="5" t="s">
        <v>17</v>
      </c>
      <c r="E97" s="4" t="s">
        <v>18</v>
      </c>
      <c r="F97" s="5" t="s">
        <v>17</v>
      </c>
      <c r="G97" s="4" t="s">
        <v>55</v>
      </c>
      <c r="H97" s="5" t="s">
        <v>56</v>
      </c>
      <c r="I97" s="4" t="s">
        <v>161</v>
      </c>
      <c r="J97" s="5" t="s">
        <v>162</v>
      </c>
      <c r="K97" s="5" t="s">
        <v>902</v>
      </c>
      <c r="L97" s="5" t="s">
        <v>56</v>
      </c>
      <c r="M97" s="4" t="s">
        <v>329</v>
      </c>
      <c r="N97" s="5" t="s">
        <v>330</v>
      </c>
      <c r="O97" s="5" t="s">
        <v>330</v>
      </c>
      <c r="P97" s="37" t="s">
        <v>491</v>
      </c>
      <c r="Q97" s="18">
        <v>518.70147002099998</v>
      </c>
    </row>
    <row r="98" spans="1:17" ht="39.6" x14ac:dyDescent="0.3">
      <c r="A98" s="17" t="s">
        <v>92</v>
      </c>
      <c r="B98" s="5" t="s">
        <v>93</v>
      </c>
      <c r="C98" s="4" t="s">
        <v>16</v>
      </c>
      <c r="D98" s="5" t="s">
        <v>17</v>
      </c>
      <c r="E98" s="4" t="s">
        <v>18</v>
      </c>
      <c r="F98" s="5" t="s">
        <v>17</v>
      </c>
      <c r="G98" s="4" t="s">
        <v>135</v>
      </c>
      <c r="H98" s="5" t="s">
        <v>136</v>
      </c>
      <c r="I98" s="4" t="s">
        <v>142</v>
      </c>
      <c r="J98" s="5" t="s">
        <v>143</v>
      </c>
      <c r="K98" s="5" t="s">
        <v>907</v>
      </c>
      <c r="L98" s="5" t="s">
        <v>136</v>
      </c>
      <c r="M98" s="4" t="s">
        <v>331</v>
      </c>
      <c r="N98" s="5" t="s">
        <v>332</v>
      </c>
      <c r="O98" s="5" t="s">
        <v>332</v>
      </c>
      <c r="P98" s="37" t="s">
        <v>492</v>
      </c>
      <c r="Q98" s="18">
        <v>220.923896195</v>
      </c>
    </row>
    <row r="99" spans="1:17" ht="26.4" x14ac:dyDescent="0.3">
      <c r="A99" s="17" t="s">
        <v>127</v>
      </c>
      <c r="B99" s="5" t="s">
        <v>128</v>
      </c>
      <c r="C99" s="4" t="s">
        <v>16</v>
      </c>
      <c r="D99" s="5" t="s">
        <v>17</v>
      </c>
      <c r="E99" s="4" t="s">
        <v>96</v>
      </c>
      <c r="F99" s="5" t="s">
        <v>97</v>
      </c>
      <c r="G99" s="4" t="s">
        <v>29</v>
      </c>
      <c r="H99" s="5" t="s">
        <v>17</v>
      </c>
      <c r="I99" s="4" t="s">
        <v>146</v>
      </c>
      <c r="J99" s="5" t="s">
        <v>93</v>
      </c>
      <c r="K99" s="5" t="s">
        <v>899</v>
      </c>
      <c r="L99" s="5" t="s">
        <v>17</v>
      </c>
      <c r="M99" s="4" t="s">
        <v>333</v>
      </c>
      <c r="N99" s="5" t="s">
        <v>334</v>
      </c>
      <c r="O99" s="5" t="s">
        <v>334</v>
      </c>
      <c r="P99" s="37" t="s">
        <v>493</v>
      </c>
      <c r="Q99" s="18">
        <v>602.52559461700002</v>
      </c>
    </row>
    <row r="100" spans="1:17" x14ac:dyDescent="0.3">
      <c r="A100" s="17" t="s">
        <v>14</v>
      </c>
      <c r="B100" s="5" t="s">
        <v>15</v>
      </c>
      <c r="C100" s="4" t="s">
        <v>16</v>
      </c>
      <c r="D100" s="5" t="s">
        <v>17</v>
      </c>
      <c r="E100" s="4" t="s">
        <v>18</v>
      </c>
      <c r="F100" s="5" t="s">
        <v>17</v>
      </c>
      <c r="G100" s="4" t="s">
        <v>55</v>
      </c>
      <c r="H100" s="5" t="s">
        <v>56</v>
      </c>
      <c r="I100" s="4" t="s">
        <v>57</v>
      </c>
      <c r="J100" s="5" t="s">
        <v>58</v>
      </c>
      <c r="K100" s="5" t="s">
        <v>902</v>
      </c>
      <c r="L100" s="5" t="s">
        <v>56</v>
      </c>
      <c r="M100" s="4" t="s">
        <v>335</v>
      </c>
      <c r="N100" s="5" t="s">
        <v>336</v>
      </c>
      <c r="O100" s="5" t="s">
        <v>336</v>
      </c>
      <c r="P100" s="37" t="s">
        <v>494</v>
      </c>
      <c r="Q100" s="18">
        <v>363.92865835200001</v>
      </c>
    </row>
    <row r="101" spans="1:17" x14ac:dyDescent="0.3">
      <c r="A101" s="17" t="s">
        <v>80</v>
      </c>
      <c r="B101" s="5" t="s">
        <v>81</v>
      </c>
      <c r="C101" s="4" t="s">
        <v>16</v>
      </c>
      <c r="D101" s="5" t="s">
        <v>17</v>
      </c>
      <c r="E101" s="4" t="s">
        <v>18</v>
      </c>
      <c r="F101" s="5" t="s">
        <v>17</v>
      </c>
      <c r="G101" s="4" t="s">
        <v>29</v>
      </c>
      <c r="H101" s="5" t="s">
        <v>17</v>
      </c>
      <c r="I101" s="4" t="s">
        <v>94</v>
      </c>
      <c r="J101" s="5" t="s">
        <v>95</v>
      </c>
      <c r="K101" s="5" t="s">
        <v>899</v>
      </c>
      <c r="L101" s="5" t="s">
        <v>17</v>
      </c>
      <c r="M101" s="4" t="s">
        <v>337</v>
      </c>
      <c r="N101" s="5" t="s">
        <v>338</v>
      </c>
      <c r="O101" s="5" t="s">
        <v>338</v>
      </c>
      <c r="P101" s="37" t="s">
        <v>495</v>
      </c>
      <c r="Q101" s="18">
        <v>424.85489772099999</v>
      </c>
    </row>
    <row r="102" spans="1:17" ht="26.4" x14ac:dyDescent="0.3">
      <c r="A102" s="17" t="s">
        <v>14</v>
      </c>
      <c r="B102" s="5" t="s">
        <v>15</v>
      </c>
      <c r="C102" s="4" t="s">
        <v>16</v>
      </c>
      <c r="D102" s="5" t="s">
        <v>17</v>
      </c>
      <c r="E102" s="4" t="s">
        <v>18</v>
      </c>
      <c r="F102" s="5" t="s">
        <v>17</v>
      </c>
      <c r="G102" s="4" t="s">
        <v>55</v>
      </c>
      <c r="H102" s="5" t="s">
        <v>56</v>
      </c>
      <c r="I102" s="4" t="s">
        <v>165</v>
      </c>
      <c r="J102" s="5" t="s">
        <v>166</v>
      </c>
      <c r="K102" s="5" t="s">
        <v>902</v>
      </c>
      <c r="L102" s="5" t="s">
        <v>56</v>
      </c>
      <c r="M102" s="4" t="s">
        <v>339</v>
      </c>
      <c r="N102" s="5" t="s">
        <v>340</v>
      </c>
      <c r="O102" s="5" t="s">
        <v>340</v>
      </c>
      <c r="P102" s="37" t="s">
        <v>496</v>
      </c>
      <c r="Q102" s="18">
        <v>230.491174298</v>
      </c>
    </row>
    <row r="103" spans="1:17" ht="26.4" x14ac:dyDescent="0.3">
      <c r="A103" s="17" t="s">
        <v>72</v>
      </c>
      <c r="B103" s="5" t="s">
        <v>73</v>
      </c>
      <c r="C103" s="4" t="s">
        <v>16</v>
      </c>
      <c r="D103" s="5" t="s">
        <v>17</v>
      </c>
      <c r="E103" s="4" t="s">
        <v>18</v>
      </c>
      <c r="F103" s="5" t="s">
        <v>17</v>
      </c>
      <c r="G103" s="4" t="s">
        <v>51</v>
      </c>
      <c r="H103" s="5" t="s">
        <v>52</v>
      </c>
      <c r="I103" s="4" t="s">
        <v>177</v>
      </c>
      <c r="J103" s="5" t="s">
        <v>178</v>
      </c>
      <c r="K103" s="5" t="s">
        <v>909</v>
      </c>
      <c r="L103" s="5" t="s">
        <v>52</v>
      </c>
      <c r="M103" s="4" t="s">
        <v>341</v>
      </c>
      <c r="N103" s="5" t="s">
        <v>342</v>
      </c>
      <c r="O103" s="5" t="s">
        <v>342</v>
      </c>
      <c r="P103" s="37" t="s">
        <v>497</v>
      </c>
      <c r="Q103" s="18">
        <v>196.16974615699999</v>
      </c>
    </row>
    <row r="104" spans="1:17" ht="26.4" x14ac:dyDescent="0.3">
      <c r="A104" s="17" t="s">
        <v>34</v>
      </c>
      <c r="B104" s="5" t="s">
        <v>35</v>
      </c>
      <c r="C104" s="4" t="s">
        <v>16</v>
      </c>
      <c r="D104" s="5" t="s">
        <v>17</v>
      </c>
      <c r="E104" s="4" t="s">
        <v>18</v>
      </c>
      <c r="F104" s="5" t="s">
        <v>17</v>
      </c>
      <c r="G104" s="4" t="s">
        <v>68</v>
      </c>
      <c r="H104" s="5" t="s">
        <v>69</v>
      </c>
      <c r="I104" s="4" t="s">
        <v>131</v>
      </c>
      <c r="J104" s="5" t="s">
        <v>132</v>
      </c>
      <c r="K104" s="5" t="s">
        <v>908</v>
      </c>
      <c r="L104" s="5" t="s">
        <v>69</v>
      </c>
      <c r="M104" s="4" t="s">
        <v>343</v>
      </c>
      <c r="N104" s="5" t="s">
        <v>344</v>
      </c>
      <c r="O104" s="5" t="s">
        <v>344</v>
      </c>
      <c r="P104" s="37" t="s">
        <v>498</v>
      </c>
      <c r="Q104" s="18">
        <v>525.58307838500002</v>
      </c>
    </row>
    <row r="105" spans="1:17" ht="26.4" x14ac:dyDescent="0.3">
      <c r="A105" s="17" t="s">
        <v>92</v>
      </c>
      <c r="B105" s="5" t="s">
        <v>93</v>
      </c>
      <c r="C105" s="4" t="s">
        <v>16</v>
      </c>
      <c r="D105" s="5" t="s">
        <v>17</v>
      </c>
      <c r="E105" s="4" t="s">
        <v>18</v>
      </c>
      <c r="F105" s="5" t="s">
        <v>17</v>
      </c>
      <c r="G105" s="4" t="s">
        <v>135</v>
      </c>
      <c r="H105" s="5" t="s">
        <v>136</v>
      </c>
      <c r="I105" s="4" t="s">
        <v>142</v>
      </c>
      <c r="J105" s="5" t="s">
        <v>143</v>
      </c>
      <c r="K105" s="5" t="s">
        <v>907</v>
      </c>
      <c r="L105" s="5" t="s">
        <v>136</v>
      </c>
      <c r="M105" s="4" t="s">
        <v>345</v>
      </c>
      <c r="N105" s="5" t="s">
        <v>346</v>
      </c>
      <c r="O105" s="5" t="s">
        <v>346</v>
      </c>
      <c r="P105" s="37" t="s">
        <v>499</v>
      </c>
      <c r="Q105" s="18">
        <v>864.79042069399998</v>
      </c>
    </row>
    <row r="106" spans="1:17" ht="26.4" x14ac:dyDescent="0.3">
      <c r="A106" s="17" t="s">
        <v>80</v>
      </c>
      <c r="B106" s="5" t="s">
        <v>81</v>
      </c>
      <c r="C106" s="4" t="s">
        <v>16</v>
      </c>
      <c r="D106" s="5" t="s">
        <v>17</v>
      </c>
      <c r="E106" s="4" t="s">
        <v>18</v>
      </c>
      <c r="F106" s="5" t="s">
        <v>17</v>
      </c>
      <c r="G106" s="4" t="s">
        <v>29</v>
      </c>
      <c r="H106" s="5" t="s">
        <v>17</v>
      </c>
      <c r="I106" s="4" t="s">
        <v>94</v>
      </c>
      <c r="J106" s="5" t="s">
        <v>95</v>
      </c>
      <c r="K106" s="5" t="s">
        <v>899</v>
      </c>
      <c r="L106" s="5" t="s">
        <v>17</v>
      </c>
      <c r="M106" s="4" t="s">
        <v>347</v>
      </c>
      <c r="N106" s="5" t="s">
        <v>348</v>
      </c>
      <c r="O106" s="5" t="s">
        <v>348</v>
      </c>
      <c r="P106" s="37" t="s">
        <v>500</v>
      </c>
      <c r="Q106" s="18">
        <v>265.99868322600003</v>
      </c>
    </row>
    <row r="107" spans="1:17" x14ac:dyDescent="0.3">
      <c r="A107" s="17" t="s">
        <v>80</v>
      </c>
      <c r="B107" s="5" t="s">
        <v>81</v>
      </c>
      <c r="C107" s="4" t="s">
        <v>16</v>
      </c>
      <c r="D107" s="5" t="s">
        <v>17</v>
      </c>
      <c r="E107" s="4" t="s">
        <v>18</v>
      </c>
      <c r="F107" s="5" t="s">
        <v>17</v>
      </c>
      <c r="G107" s="4" t="s">
        <v>86</v>
      </c>
      <c r="H107" s="5" t="s">
        <v>87</v>
      </c>
      <c r="I107" s="4" t="s">
        <v>120</v>
      </c>
      <c r="J107" s="5" t="s">
        <v>121</v>
      </c>
      <c r="K107" s="5" t="s">
        <v>904</v>
      </c>
      <c r="L107" s="5" t="s">
        <v>87</v>
      </c>
      <c r="M107" s="4" t="s">
        <v>349</v>
      </c>
      <c r="N107" s="5" t="s">
        <v>350</v>
      </c>
      <c r="O107" s="5" t="s">
        <v>350</v>
      </c>
      <c r="P107" s="37" t="s">
        <v>501</v>
      </c>
      <c r="Q107" s="18">
        <v>1133.7997372699999</v>
      </c>
    </row>
    <row r="108" spans="1:17" x14ac:dyDescent="0.3">
      <c r="A108" s="17" t="s">
        <v>14</v>
      </c>
      <c r="B108" s="5" t="s">
        <v>15</v>
      </c>
      <c r="C108" s="4" t="s">
        <v>16</v>
      </c>
      <c r="D108" s="5" t="s">
        <v>17</v>
      </c>
      <c r="E108" s="4" t="s">
        <v>18</v>
      </c>
      <c r="F108" s="5" t="s">
        <v>17</v>
      </c>
      <c r="G108" s="4" t="s">
        <v>19</v>
      </c>
      <c r="H108" s="5" t="s">
        <v>20</v>
      </c>
      <c r="I108" s="4" t="s">
        <v>21</v>
      </c>
      <c r="J108" s="5" t="s">
        <v>22</v>
      </c>
      <c r="K108" s="5" t="s">
        <v>900</v>
      </c>
      <c r="L108" s="5" t="s">
        <v>20</v>
      </c>
      <c r="M108" s="4" t="s">
        <v>351</v>
      </c>
      <c r="N108" s="5" t="s">
        <v>352</v>
      </c>
      <c r="O108" s="5" t="s">
        <v>352</v>
      </c>
      <c r="P108" s="37" t="s">
        <v>502</v>
      </c>
      <c r="Q108" s="18">
        <v>1346.42542357</v>
      </c>
    </row>
    <row r="109" spans="1:17" ht="26.4" x14ac:dyDescent="0.3">
      <c r="A109" s="17" t="s">
        <v>34</v>
      </c>
      <c r="B109" s="5" t="s">
        <v>35</v>
      </c>
      <c r="C109" s="4" t="s">
        <v>16</v>
      </c>
      <c r="D109" s="5" t="s">
        <v>17</v>
      </c>
      <c r="E109" s="4" t="s">
        <v>18</v>
      </c>
      <c r="F109" s="5" t="s">
        <v>17</v>
      </c>
      <c r="G109" s="4" t="s">
        <v>29</v>
      </c>
      <c r="H109" s="5" t="s">
        <v>17</v>
      </c>
      <c r="I109" s="4" t="s">
        <v>131</v>
      </c>
      <c r="J109" s="5" t="s">
        <v>132</v>
      </c>
      <c r="K109" s="5" t="s">
        <v>899</v>
      </c>
      <c r="L109" s="5" t="s">
        <v>17</v>
      </c>
      <c r="M109" s="4" t="s">
        <v>353</v>
      </c>
      <c r="N109" s="5" t="s">
        <v>354</v>
      </c>
      <c r="O109" s="5" t="s">
        <v>354</v>
      </c>
      <c r="P109" s="37" t="s">
        <v>503</v>
      </c>
      <c r="Q109" s="18">
        <v>219.071913636</v>
      </c>
    </row>
    <row r="110" spans="1:17" x14ac:dyDescent="0.3">
      <c r="A110" s="17" t="s">
        <v>72</v>
      </c>
      <c r="B110" s="5" t="s">
        <v>73</v>
      </c>
      <c r="C110" s="4" t="s">
        <v>16</v>
      </c>
      <c r="D110" s="5" t="s">
        <v>17</v>
      </c>
      <c r="E110" s="4" t="s">
        <v>18</v>
      </c>
      <c r="F110" s="5" t="s">
        <v>17</v>
      </c>
      <c r="G110" s="4" t="s">
        <v>51</v>
      </c>
      <c r="H110" s="5" t="s">
        <v>52</v>
      </c>
      <c r="I110" s="4" t="s">
        <v>177</v>
      </c>
      <c r="J110" s="5" t="s">
        <v>178</v>
      </c>
      <c r="K110" s="5" t="s">
        <v>909</v>
      </c>
      <c r="L110" s="5" t="s">
        <v>52</v>
      </c>
      <c r="M110" s="4" t="s">
        <v>355</v>
      </c>
      <c r="N110" s="5" t="s">
        <v>356</v>
      </c>
      <c r="O110" s="5" t="s">
        <v>356</v>
      </c>
      <c r="P110" s="37" t="s">
        <v>504</v>
      </c>
      <c r="Q110" s="18">
        <v>252.239744186</v>
      </c>
    </row>
    <row r="111" spans="1:17" ht="26.4" x14ac:dyDescent="0.3">
      <c r="A111" s="17" t="s">
        <v>44</v>
      </c>
      <c r="B111" s="5" t="s">
        <v>45</v>
      </c>
      <c r="C111" s="4" t="s">
        <v>16</v>
      </c>
      <c r="D111" s="5" t="s">
        <v>17</v>
      </c>
      <c r="E111" s="4" t="s">
        <v>48</v>
      </c>
      <c r="F111" s="5" t="s">
        <v>49</v>
      </c>
      <c r="G111" s="4" t="s">
        <v>29</v>
      </c>
      <c r="H111" s="5" t="s">
        <v>17</v>
      </c>
      <c r="I111" s="4" t="s">
        <v>82</v>
      </c>
      <c r="J111" s="5" t="s">
        <v>45</v>
      </c>
      <c r="K111" s="5" t="s">
        <v>899</v>
      </c>
      <c r="L111" s="5" t="s">
        <v>17</v>
      </c>
      <c r="M111" s="4" t="s">
        <v>357</v>
      </c>
      <c r="N111" s="5" t="s">
        <v>358</v>
      </c>
      <c r="O111" s="5" t="s">
        <v>358</v>
      </c>
      <c r="P111" s="37" t="s">
        <v>505</v>
      </c>
      <c r="Q111" s="18">
        <v>1149.05383439</v>
      </c>
    </row>
    <row r="112" spans="1:17" x14ac:dyDescent="0.3">
      <c r="A112" s="17" t="s">
        <v>72</v>
      </c>
      <c r="B112" s="5" t="s">
        <v>73</v>
      </c>
      <c r="C112" s="4" t="s">
        <v>16</v>
      </c>
      <c r="D112" s="5" t="s">
        <v>17</v>
      </c>
      <c r="E112" s="4" t="s">
        <v>18</v>
      </c>
      <c r="F112" s="5" t="s">
        <v>17</v>
      </c>
      <c r="G112" s="4" t="s">
        <v>51</v>
      </c>
      <c r="H112" s="5" t="s">
        <v>52</v>
      </c>
      <c r="I112" s="4" t="s">
        <v>177</v>
      </c>
      <c r="J112" s="5" t="s">
        <v>178</v>
      </c>
      <c r="K112" s="5" t="s">
        <v>909</v>
      </c>
      <c r="L112" s="5" t="s">
        <v>52</v>
      </c>
      <c r="M112" s="4" t="s">
        <v>359</v>
      </c>
      <c r="N112" s="5" t="s">
        <v>360</v>
      </c>
      <c r="O112" s="5" t="s">
        <v>360</v>
      </c>
      <c r="P112" s="37" t="s">
        <v>506</v>
      </c>
      <c r="Q112" s="18">
        <v>120.47906216600001</v>
      </c>
    </row>
    <row r="113" spans="1:17" x14ac:dyDescent="0.3">
      <c r="A113" s="17" t="s">
        <v>72</v>
      </c>
      <c r="B113" s="5" t="s">
        <v>73</v>
      </c>
      <c r="C113" s="4" t="s">
        <v>16</v>
      </c>
      <c r="D113" s="5" t="s">
        <v>17</v>
      </c>
      <c r="E113" s="4" t="s">
        <v>18</v>
      </c>
      <c r="F113" s="5" t="s">
        <v>17</v>
      </c>
      <c r="G113" s="4" t="s">
        <v>74</v>
      </c>
      <c r="H113" s="5" t="s">
        <v>75</v>
      </c>
      <c r="I113" s="4" t="s">
        <v>76</v>
      </c>
      <c r="J113" s="5" t="s">
        <v>77</v>
      </c>
      <c r="K113" s="5" t="s">
        <v>903</v>
      </c>
      <c r="L113" s="5" t="s">
        <v>75</v>
      </c>
      <c r="M113" s="4" t="s">
        <v>361</v>
      </c>
      <c r="N113" s="5" t="s">
        <v>362</v>
      </c>
      <c r="O113" s="5" t="s">
        <v>362</v>
      </c>
      <c r="P113" s="37" t="s">
        <v>507</v>
      </c>
      <c r="Q113" s="18">
        <v>140.345788067</v>
      </c>
    </row>
    <row r="114" spans="1:17" x14ac:dyDescent="0.3">
      <c r="A114" s="17" t="s">
        <v>92</v>
      </c>
      <c r="B114" s="5" t="s">
        <v>93</v>
      </c>
      <c r="C114" s="4" t="s">
        <v>16</v>
      </c>
      <c r="D114" s="5" t="s">
        <v>17</v>
      </c>
      <c r="E114" s="4" t="s">
        <v>18</v>
      </c>
      <c r="F114" s="5" t="s">
        <v>17</v>
      </c>
      <c r="G114" s="4" t="s">
        <v>114</v>
      </c>
      <c r="H114" s="5" t="s">
        <v>115</v>
      </c>
      <c r="I114" s="4" t="s">
        <v>149</v>
      </c>
      <c r="J114" s="5" t="s">
        <v>150</v>
      </c>
      <c r="K114" s="5" t="s">
        <v>906</v>
      </c>
      <c r="L114" s="5" t="s">
        <v>115</v>
      </c>
      <c r="M114" s="4" t="s">
        <v>363</v>
      </c>
      <c r="N114" s="5" t="s">
        <v>364</v>
      </c>
      <c r="O114" s="5" t="s">
        <v>364</v>
      </c>
      <c r="P114" s="37" t="s">
        <v>508</v>
      </c>
      <c r="Q114" s="18">
        <v>134.44259809900001</v>
      </c>
    </row>
    <row r="115" spans="1:17" ht="26.4" x14ac:dyDescent="0.3">
      <c r="A115" s="17" t="s">
        <v>34</v>
      </c>
      <c r="B115" s="5" t="s">
        <v>35</v>
      </c>
      <c r="C115" s="4" t="s">
        <v>16</v>
      </c>
      <c r="D115" s="5" t="s">
        <v>17</v>
      </c>
      <c r="E115" s="4" t="s">
        <v>36</v>
      </c>
      <c r="F115" s="5" t="s">
        <v>37</v>
      </c>
      <c r="G115" s="4" t="s">
        <v>38</v>
      </c>
      <c r="H115" s="5" t="s">
        <v>39</v>
      </c>
      <c r="I115" s="4" t="s">
        <v>40</v>
      </c>
      <c r="J115" s="5" t="s">
        <v>41</v>
      </c>
      <c r="K115" s="5" t="s">
        <v>901</v>
      </c>
      <c r="L115" s="5" t="s">
        <v>39</v>
      </c>
      <c r="M115" s="4" t="s">
        <v>365</v>
      </c>
      <c r="N115" s="5" t="s">
        <v>366</v>
      </c>
      <c r="O115" s="5" t="s">
        <v>366</v>
      </c>
      <c r="P115" s="37" t="s">
        <v>509</v>
      </c>
      <c r="Q115" s="18">
        <v>265.92924344699998</v>
      </c>
    </row>
    <row r="116" spans="1:17" x14ac:dyDescent="0.3">
      <c r="A116" s="17" t="s">
        <v>72</v>
      </c>
      <c r="B116" s="5" t="s">
        <v>73</v>
      </c>
      <c r="C116" s="4" t="s">
        <v>16</v>
      </c>
      <c r="D116" s="5" t="s">
        <v>17</v>
      </c>
      <c r="E116" s="4" t="s">
        <v>18</v>
      </c>
      <c r="F116" s="5" t="s">
        <v>17</v>
      </c>
      <c r="G116" s="4" t="s">
        <v>74</v>
      </c>
      <c r="H116" s="5" t="s">
        <v>75</v>
      </c>
      <c r="I116" s="4" t="s">
        <v>167</v>
      </c>
      <c r="J116" s="5" t="s">
        <v>168</v>
      </c>
      <c r="K116" s="5" t="s">
        <v>903</v>
      </c>
      <c r="L116" s="5" t="s">
        <v>75</v>
      </c>
      <c r="M116" s="4" t="s">
        <v>367</v>
      </c>
      <c r="N116" s="5" t="s">
        <v>368</v>
      </c>
      <c r="O116" s="5" t="s">
        <v>368</v>
      </c>
      <c r="P116" s="37" t="s">
        <v>510</v>
      </c>
      <c r="Q116" s="18">
        <v>2563.3972272699998</v>
      </c>
    </row>
    <row r="117" spans="1:17" ht="39.6" x14ac:dyDescent="0.3">
      <c r="A117" s="17" t="s">
        <v>92</v>
      </c>
      <c r="B117" s="5" t="s">
        <v>93</v>
      </c>
      <c r="C117" s="4" t="s">
        <v>16</v>
      </c>
      <c r="D117" s="5" t="s">
        <v>17</v>
      </c>
      <c r="E117" s="4" t="s">
        <v>18</v>
      </c>
      <c r="F117" s="5" t="s">
        <v>17</v>
      </c>
      <c r="G117" s="4" t="s">
        <v>114</v>
      </c>
      <c r="H117" s="5" t="s">
        <v>115</v>
      </c>
      <c r="I117" s="4" t="s">
        <v>116</v>
      </c>
      <c r="J117" s="5" t="s">
        <v>117</v>
      </c>
      <c r="K117" s="5" t="s">
        <v>906</v>
      </c>
      <c r="L117" s="5" t="s">
        <v>115</v>
      </c>
      <c r="M117" s="4" t="s">
        <v>369</v>
      </c>
      <c r="N117" s="5" t="s">
        <v>370</v>
      </c>
      <c r="O117" s="5" t="s">
        <v>370</v>
      </c>
      <c r="P117" s="37" t="s">
        <v>511</v>
      </c>
      <c r="Q117" s="18">
        <v>567.70263553799998</v>
      </c>
    </row>
    <row r="118" spans="1:17" x14ac:dyDescent="0.3">
      <c r="A118" s="17" t="s">
        <v>72</v>
      </c>
      <c r="B118" s="5" t="s">
        <v>73</v>
      </c>
      <c r="C118" s="4" t="s">
        <v>16</v>
      </c>
      <c r="D118" s="5" t="s">
        <v>17</v>
      </c>
      <c r="E118" s="4" t="s">
        <v>18</v>
      </c>
      <c r="F118" s="5" t="s">
        <v>17</v>
      </c>
      <c r="G118" s="4" t="s">
        <v>51</v>
      </c>
      <c r="H118" s="5" t="s">
        <v>52</v>
      </c>
      <c r="I118" s="4" t="s">
        <v>177</v>
      </c>
      <c r="J118" s="5" t="s">
        <v>178</v>
      </c>
      <c r="K118" s="5" t="s">
        <v>909</v>
      </c>
      <c r="L118" s="5" t="s">
        <v>52</v>
      </c>
      <c r="M118" s="4" t="s">
        <v>371</v>
      </c>
      <c r="N118" s="5" t="s">
        <v>372</v>
      </c>
      <c r="O118" s="5" t="s">
        <v>372</v>
      </c>
      <c r="P118" s="37" t="s">
        <v>512</v>
      </c>
      <c r="Q118" s="18">
        <v>126.195338709</v>
      </c>
    </row>
    <row r="119" spans="1:17" x14ac:dyDescent="0.3">
      <c r="A119" s="17" t="s">
        <v>80</v>
      </c>
      <c r="B119" s="5" t="s">
        <v>81</v>
      </c>
      <c r="C119" s="4" t="s">
        <v>16</v>
      </c>
      <c r="D119" s="5" t="s">
        <v>17</v>
      </c>
      <c r="E119" s="4" t="s">
        <v>18</v>
      </c>
      <c r="F119" s="5" t="s">
        <v>17</v>
      </c>
      <c r="G119" s="4" t="s">
        <v>86</v>
      </c>
      <c r="H119" s="5" t="s">
        <v>87</v>
      </c>
      <c r="I119" s="4" t="s">
        <v>88</v>
      </c>
      <c r="J119" s="5" t="s">
        <v>89</v>
      </c>
      <c r="K119" s="5" t="s">
        <v>904</v>
      </c>
      <c r="L119" s="5" t="s">
        <v>87</v>
      </c>
      <c r="M119" s="4" t="s">
        <v>373</v>
      </c>
      <c r="N119" s="5" t="s">
        <v>374</v>
      </c>
      <c r="O119" s="5" t="s">
        <v>374</v>
      </c>
      <c r="P119" s="37" t="s">
        <v>513</v>
      </c>
      <c r="Q119" s="18">
        <v>540.81498793599997</v>
      </c>
    </row>
    <row r="120" spans="1:17" x14ac:dyDescent="0.3">
      <c r="A120" s="17" t="s">
        <v>72</v>
      </c>
      <c r="B120" s="5" t="s">
        <v>73</v>
      </c>
      <c r="C120" s="4" t="s">
        <v>16</v>
      </c>
      <c r="D120" s="5" t="s">
        <v>17</v>
      </c>
      <c r="E120" s="4" t="s">
        <v>18</v>
      </c>
      <c r="F120" s="5" t="s">
        <v>17</v>
      </c>
      <c r="G120" s="4" t="s">
        <v>51</v>
      </c>
      <c r="H120" s="5" t="s">
        <v>52</v>
      </c>
      <c r="I120" s="4" t="s">
        <v>76</v>
      </c>
      <c r="J120" s="5" t="s">
        <v>77</v>
      </c>
      <c r="K120" s="5" t="s">
        <v>909</v>
      </c>
      <c r="L120" s="5" t="s">
        <v>52</v>
      </c>
      <c r="M120" s="4" t="s">
        <v>375</v>
      </c>
      <c r="N120" s="5" t="s">
        <v>376</v>
      </c>
      <c r="O120" s="5" t="s">
        <v>376</v>
      </c>
      <c r="P120" s="37" t="s">
        <v>514</v>
      </c>
      <c r="Q120" s="18">
        <v>143.64602175100001</v>
      </c>
    </row>
    <row r="121" spans="1:17" ht="26.4" x14ac:dyDescent="0.3">
      <c r="A121" s="17" t="s">
        <v>127</v>
      </c>
      <c r="B121" s="5" t="s">
        <v>128</v>
      </c>
      <c r="C121" s="4" t="s">
        <v>16</v>
      </c>
      <c r="D121" s="5" t="s">
        <v>17</v>
      </c>
      <c r="E121" s="4" t="s">
        <v>96</v>
      </c>
      <c r="F121" s="5" t="s">
        <v>97</v>
      </c>
      <c r="G121" s="4" t="s">
        <v>29</v>
      </c>
      <c r="H121" s="5" t="s">
        <v>17</v>
      </c>
      <c r="I121" s="4" t="s">
        <v>185</v>
      </c>
      <c r="J121" s="5" t="s">
        <v>186</v>
      </c>
      <c r="K121" s="5" t="s">
        <v>899</v>
      </c>
      <c r="L121" s="5" t="s">
        <v>17</v>
      </c>
      <c r="M121" s="4" t="s">
        <v>377</v>
      </c>
      <c r="N121" s="5" t="s">
        <v>378</v>
      </c>
      <c r="O121" s="5" t="s">
        <v>378</v>
      </c>
      <c r="P121" s="37" t="s">
        <v>515</v>
      </c>
      <c r="Q121" s="18">
        <v>1661.93586082</v>
      </c>
    </row>
    <row r="122" spans="1:17" x14ac:dyDescent="0.3">
      <c r="A122" s="17" t="s">
        <v>80</v>
      </c>
      <c r="B122" s="5" t="s">
        <v>81</v>
      </c>
      <c r="C122" s="4" t="s">
        <v>16</v>
      </c>
      <c r="D122" s="5" t="s">
        <v>17</v>
      </c>
      <c r="E122" s="4" t="s">
        <v>18</v>
      </c>
      <c r="F122" s="5" t="s">
        <v>17</v>
      </c>
      <c r="G122" s="4" t="s">
        <v>86</v>
      </c>
      <c r="H122" s="5" t="s">
        <v>87</v>
      </c>
      <c r="I122" s="4" t="s">
        <v>88</v>
      </c>
      <c r="J122" s="5" t="s">
        <v>89</v>
      </c>
      <c r="K122" s="5" t="s">
        <v>904</v>
      </c>
      <c r="L122" s="5" t="s">
        <v>87</v>
      </c>
      <c r="M122" s="4" t="s">
        <v>379</v>
      </c>
      <c r="N122" s="5" t="s">
        <v>380</v>
      </c>
      <c r="O122" s="5" t="s">
        <v>380</v>
      </c>
      <c r="P122" s="37" t="s">
        <v>516</v>
      </c>
      <c r="Q122" s="18">
        <v>440.856387574</v>
      </c>
    </row>
    <row r="123" spans="1:17" ht="39.6" x14ac:dyDescent="0.3">
      <c r="A123" s="17" t="s">
        <v>92</v>
      </c>
      <c r="B123" s="5" t="s">
        <v>93</v>
      </c>
      <c r="C123" s="4" t="s">
        <v>16</v>
      </c>
      <c r="D123" s="5" t="s">
        <v>17</v>
      </c>
      <c r="E123" s="4" t="s">
        <v>18</v>
      </c>
      <c r="F123" s="5" t="s">
        <v>17</v>
      </c>
      <c r="G123" s="4" t="s">
        <v>114</v>
      </c>
      <c r="H123" s="5" t="s">
        <v>115</v>
      </c>
      <c r="I123" s="4" t="s">
        <v>116</v>
      </c>
      <c r="J123" s="5" t="s">
        <v>117</v>
      </c>
      <c r="K123" s="5" t="s">
        <v>906</v>
      </c>
      <c r="L123" s="5" t="s">
        <v>115</v>
      </c>
      <c r="M123" s="4" t="s">
        <v>381</v>
      </c>
      <c r="N123" s="5" t="s">
        <v>382</v>
      </c>
      <c r="O123" s="5" t="s">
        <v>382</v>
      </c>
      <c r="P123" s="37" t="s">
        <v>517</v>
      </c>
      <c r="Q123" s="18">
        <v>712.57203676500001</v>
      </c>
    </row>
    <row r="124" spans="1:17" x14ac:dyDescent="0.3">
      <c r="A124" s="17" t="s">
        <v>80</v>
      </c>
      <c r="B124" s="5" t="s">
        <v>81</v>
      </c>
      <c r="C124" s="4" t="s">
        <v>16</v>
      </c>
      <c r="D124" s="5" t="s">
        <v>17</v>
      </c>
      <c r="E124" s="4" t="s">
        <v>18</v>
      </c>
      <c r="F124" s="5" t="s">
        <v>17</v>
      </c>
      <c r="G124" s="4" t="s">
        <v>86</v>
      </c>
      <c r="H124" s="5" t="s">
        <v>87</v>
      </c>
      <c r="I124" s="4" t="s">
        <v>88</v>
      </c>
      <c r="J124" s="5" t="s">
        <v>89</v>
      </c>
      <c r="K124" s="5" t="s">
        <v>904</v>
      </c>
      <c r="L124" s="5" t="s">
        <v>87</v>
      </c>
      <c r="M124" s="4" t="s">
        <v>383</v>
      </c>
      <c r="N124" s="5" t="s">
        <v>384</v>
      </c>
      <c r="O124" s="5" t="s">
        <v>384</v>
      </c>
      <c r="P124" s="37" t="s">
        <v>518</v>
      </c>
      <c r="Q124" s="18">
        <v>943.97208270099998</v>
      </c>
    </row>
    <row r="125" spans="1:17" ht="26.4" x14ac:dyDescent="0.3">
      <c r="A125" s="17" t="s">
        <v>61</v>
      </c>
      <c r="B125" s="5" t="s">
        <v>62</v>
      </c>
      <c r="C125" s="4" t="s">
        <v>16</v>
      </c>
      <c r="D125" s="5" t="s">
        <v>17</v>
      </c>
      <c r="E125" s="4" t="s">
        <v>18</v>
      </c>
      <c r="F125" s="5" t="s">
        <v>17</v>
      </c>
      <c r="G125" s="4" t="s">
        <v>29</v>
      </c>
      <c r="H125" s="5" t="s">
        <v>17</v>
      </c>
      <c r="I125" s="4" t="s">
        <v>107</v>
      </c>
      <c r="J125" s="5" t="s">
        <v>108</v>
      </c>
      <c r="K125" s="5" t="s">
        <v>899</v>
      </c>
      <c r="L125" s="5" t="s">
        <v>17</v>
      </c>
      <c r="M125" s="4" t="s">
        <v>385</v>
      </c>
      <c r="N125" s="5" t="s">
        <v>386</v>
      </c>
      <c r="O125" s="5" t="s">
        <v>386</v>
      </c>
      <c r="P125" s="37" t="s">
        <v>519</v>
      </c>
      <c r="Q125" s="18">
        <v>1894.98116024</v>
      </c>
    </row>
    <row r="126" spans="1:17" ht="26.4" x14ac:dyDescent="0.3">
      <c r="A126" s="22" t="s">
        <v>44</v>
      </c>
      <c r="B126" s="23" t="s">
        <v>45</v>
      </c>
      <c r="C126" s="24" t="s">
        <v>16</v>
      </c>
      <c r="D126" s="23" t="s">
        <v>17</v>
      </c>
      <c r="E126" s="24" t="s">
        <v>48</v>
      </c>
      <c r="F126" s="23" t="s">
        <v>49</v>
      </c>
      <c r="G126" s="24" t="s">
        <v>29</v>
      </c>
      <c r="H126" s="23" t="s">
        <v>17</v>
      </c>
      <c r="I126" s="24" t="s">
        <v>82</v>
      </c>
      <c r="J126" s="23" t="s">
        <v>45</v>
      </c>
      <c r="K126" s="5" t="s">
        <v>899</v>
      </c>
      <c r="L126" s="5" t="s">
        <v>17</v>
      </c>
      <c r="M126" s="24" t="s">
        <v>387</v>
      </c>
      <c r="N126" s="23" t="s">
        <v>388</v>
      </c>
      <c r="O126" s="23" t="s">
        <v>388</v>
      </c>
      <c r="P126" s="38" t="s">
        <v>520</v>
      </c>
      <c r="Q126" s="25">
        <v>1167.3987212500001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A3CE-0F6F-4DDC-9D5F-2E011EED3E9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48b131-7d89-4828-b10b-0636eef39b0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D1E4702BD464DB238DEB9267618EE" ma:contentTypeVersion="19" ma:contentTypeDescription="Create a new document." ma:contentTypeScope="" ma:versionID="edd5ee432d6fb59014268e79a698f527">
  <xsd:schema xmlns:xsd="http://www.w3.org/2001/XMLSchema" xmlns:xs="http://www.w3.org/2001/XMLSchema" xmlns:p="http://schemas.microsoft.com/office/2006/metadata/properties" xmlns:ns3="87073f5b-d8f0-4b9c-9fa3-5f4866b5878b" xmlns:ns4="e748b131-7d89-4828-b10b-0636eef39b05" targetNamespace="http://schemas.microsoft.com/office/2006/metadata/properties" ma:root="true" ma:fieldsID="9554ae462f9f8276953f5b9d0f294a61" ns3:_="" ns4:_="">
    <xsd:import namespace="87073f5b-d8f0-4b9c-9fa3-5f4866b5878b"/>
    <xsd:import namespace="e748b131-7d89-4828-b10b-0636eef39b0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73f5b-d8f0-4b9c-9fa3-5f4866b5878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8b131-7d89-4828-b10b-0636eef39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dexed="true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30FF83-DB04-4E94-AA45-A3B184BD57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031DC1-BDFB-4D8E-8D3F-33ED6E7E20D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C67F395-4B81-42C6-B402-23BB19BE8A9C}">
  <ds:schemaRefs>
    <ds:schemaRef ds:uri="http://schemas.microsoft.com/office/2006/metadata/properties"/>
    <ds:schemaRef ds:uri="http://schemas.microsoft.com/office/infopath/2007/PartnerControls"/>
    <ds:schemaRef ds:uri="e748b131-7d89-4828-b10b-0636eef39b05"/>
  </ds:schemaRefs>
</ds:datastoreItem>
</file>

<file path=customXml/itemProps4.xml><?xml version="1.0" encoding="utf-8"?>
<ds:datastoreItem xmlns:ds="http://schemas.openxmlformats.org/officeDocument/2006/customXml" ds:itemID="{D6F37678-FBE3-4E19-A589-650BE007C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73f5b-d8f0-4b9c-9fa3-5f4866b5878b"/>
    <ds:schemaRef ds:uri="e748b131-7d89-4828-b10b-0636eef39b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DIVIPOLA_EAT_GOBANT</vt:lpstr>
      <vt:lpstr>Mpios_Antioquia_GeoprtalDANE_20</vt:lpstr>
      <vt:lpstr>DIVIPOLA_EAT</vt:lpstr>
      <vt:lpstr>Hoja2</vt:lpstr>
    </vt:vector>
  </TitlesOfParts>
  <Manager/>
  <Company>GOBERNACION DE ANTIOQUIA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JAZMIN ELENA ESPINOSA ESPINOSA</dc:creator>
  <cp:keywords/>
  <dc:description/>
  <cp:lastModifiedBy>JUAN PABLO KEEP BUITRAGO</cp:lastModifiedBy>
  <cp:revision/>
  <dcterms:created xsi:type="dcterms:W3CDTF">2025-05-07T14:36:28Z</dcterms:created>
  <dcterms:modified xsi:type="dcterms:W3CDTF">2026-01-29T20:42:09Z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0x0101004FBD1E4702BD464DB238DEB9267618EE</vt:lpwstr>
  </property>
</Properties>
</file>